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천막·어닝 구조물 견적서" sheetId="1" state="visible" r:id="rId1"/>
    <sheet xmlns:r="http://schemas.openxmlformats.org/officeDocument/2006/relationships" name="글램핑 텐트 견적서" sheetId="2" state="visible" r:id="rId2"/>
  </sheets>
  <definedNames>
    <definedName name="_xlnm.Print_Area" localSheetId="0">'천막·어닝 구조물 견적서'!$A$1:$J$66</definedName>
    <definedName name="_xlnm.Print_Area" localSheetId="1">'글램핑 텐트 견적서'!$A$1:$J$66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#,##0&quot;원 정&quot;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0D080"/>
      <sz val="26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10"/>
    </font>
    <font>
      <name val="맑은 고딕"/>
      <charset val="129"/>
      <family val="3"/>
      <b val="1"/>
      <color rgb="FF1A3526"/>
      <sz val="10"/>
    </font>
    <font>
      <name val="맑은 고딕"/>
      <charset val="129"/>
      <family val="3"/>
      <color rgb="FF888888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333333"/>
      <sz val="9"/>
    </font>
    <font>
      <name val="맑은 고딕"/>
      <charset val="129"/>
      <family val="3"/>
      <color rgb="FF1A1A1A"/>
      <sz val="8"/>
    </font>
    <font>
      <name val="맑은 고딕"/>
      <charset val="129"/>
      <family val="3"/>
      <color rgb="FF444444"/>
      <sz val="10"/>
    </font>
    <font>
      <name val="맑은 고딕"/>
      <charset val="129"/>
      <family val="3"/>
      <b val="1"/>
      <color rgb="FFF0D080"/>
      <sz val="13"/>
    </font>
    <font>
      <name val="맑은 고딕"/>
      <charset val="129"/>
      <family val="3"/>
      <b val="1"/>
      <color rgb="FF1A3526"/>
      <sz val="16"/>
    </font>
    <font>
      <name val="맑은 고딕"/>
      <charset val="129"/>
      <family val="3"/>
      <color rgb="FF888888"/>
      <sz val="8"/>
    </font>
    <font>
      <name val="맑은 고딕"/>
      <charset val="129"/>
      <family val="3"/>
      <b val="1"/>
      <color rgb="FF2D5A3D"/>
      <sz val="10"/>
    </font>
    <font>
      <name val="맑은 고딕"/>
      <charset val="129"/>
      <family val="3"/>
      <color rgb="FF555555"/>
      <sz val="8"/>
    </font>
    <font>
      <name val="맑은 고딕"/>
      <charset val="129"/>
      <family val="3"/>
      <b val="1"/>
      <color rgb="FF1A1A1A"/>
      <sz val="10"/>
    </font>
    <font>
      <name val="맑은 고딕"/>
      <charset val="129"/>
      <family val="3"/>
      <color rgb="FF666666"/>
      <sz val="8"/>
    </font>
    <font>
      <name val="맑은 고딕"/>
      <charset val="129"/>
      <family val="3"/>
      <b val="1"/>
      <color rgb="FF1A1A1A"/>
      <sz val="12"/>
    </font>
    <font>
      <name val="맑은 고딕"/>
      <charset val="129"/>
      <family val="3"/>
      <b val="1"/>
      <color rgb="FF1A3526"/>
      <sz val="12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b val="1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FF1A3526"/>
        <bgColor rgb="FF1A3526"/>
      </patternFill>
    </fill>
    <fill>
      <patternFill patternType="solid">
        <fgColor rgb="FFFDF8EE"/>
        <bgColor rgb="FFFDF8EE"/>
      </patternFill>
    </fill>
    <fill>
      <patternFill patternType="solid">
        <fgColor rgb="FFFFFFFF"/>
        <bgColor rgb="FFFFFFFF"/>
      </patternFill>
    </fill>
    <fill>
      <patternFill patternType="solid">
        <fgColor rgb="FFF6F9F6"/>
        <bgColor rgb="FFF6F9F6"/>
      </patternFill>
    </fill>
    <fill>
      <patternFill patternType="solid">
        <fgColor rgb="FFFDF3DC"/>
        <bgColor rgb="FFFDF3DC"/>
      </patternFill>
    </fill>
    <fill>
      <patternFill patternType="solid">
        <fgColor rgb="FFB59035"/>
        <bgColor rgb="FFB59035"/>
      </patternFill>
    </fill>
    <fill>
      <patternFill patternType="solid">
        <fgColor rgb="FFE8F0EA"/>
        <bgColor rgb="FFE8F0EA"/>
      </patternFill>
    </fill>
    <fill>
      <patternFill patternType="solid">
        <fgColor rgb="FFF4F6F4"/>
        <bgColor rgb="FFF4F6F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3" fontId="16" fillId="3" borderId="1" applyAlignment="1" pivotButton="0" quotePrefix="0" xfId="0">
      <alignment horizontal="center" vertical="center" wrapText="1"/>
    </xf>
    <xf numFmtId="3" fontId="16" fillId="3" borderId="1" applyAlignment="1" pivotButton="0" quotePrefix="0" xfId="0">
      <alignment horizontal="right" vertical="center"/>
    </xf>
    <xf numFmtId="3" fontId="16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 indent="1"/>
    </xf>
    <xf numFmtId="0" fontId="15" fillId="9" borderId="1" applyAlignment="1" pivotButton="0" quotePrefix="0" xfId="0">
      <alignment horizontal="center" vertical="center" wrapText="1"/>
    </xf>
    <xf numFmtId="3" fontId="16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3" fontId="0" fillId="3" borderId="1" pivotButton="0" quotePrefix="0" xfId="0"/>
    <xf numFmtId="0" fontId="0" fillId="9" borderId="1" pivotButton="0" quotePrefix="0" xfId="0"/>
    <xf numFmtId="0" fontId="14" fillId="8" borderId="1" applyAlignment="1" pivotButton="0" quotePrefix="0" xfId="0">
      <alignment horizontal="left" vertical="center" wrapText="1" indent="2"/>
    </xf>
    <xf numFmtId="0" fontId="0" fillId="0" borderId="3" pivotButton="0" quotePrefix="0" xfId="0"/>
    <xf numFmtId="0" fontId="0" fillId="0" borderId="2" pivotButton="0" quotePrefix="0" xfId="0"/>
    <xf numFmtId="164" fontId="12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19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2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3" fontId="12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3" fontId="22" fillId="4" borderId="1" applyAlignment="1" pivotButton="0" quotePrefix="0" xfId="0">
      <alignment horizontal="right" vertical="center"/>
    </xf>
    <xf numFmtId="3" fontId="22" fillId="9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466725</colOff>
      <row>65</row>
      <rowOff>104775</rowOff>
    </from>
    <to>
      <col>5</col>
      <colOff>952500</colOff>
      <row>65</row>
      <rowOff>571500</rowOff>
    </to>
    <pic>
      <nvPicPr>
        <cNvPr id="2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33925" y="17297400"/>
          <a:ext cx="485775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752475</colOff>
      <row>3</row>
      <rowOff>19050</rowOff>
    </from>
    <to>
      <col>10</col>
      <colOff>49374</colOff>
      <row>4</row>
      <rowOff>19050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058275" y="1123950"/>
          <a:ext cx="287499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showGridLines="0" tabSelected="1" workbookViewId="0">
      <selection activeCell="J4" sqref="J4"/>
    </sheetView>
  </sheetViews>
  <sheetFormatPr baseColWidth="8" defaultRowHeight="16.5"/>
  <cols>
    <col width="5" customWidth="1" style="38" min="1" max="1"/>
    <col width="26" customWidth="1" style="38" min="2" max="2"/>
    <col width="12" customWidth="1" style="38" min="3" max="3"/>
    <col width="5" customWidth="1" style="38" min="4" max="4"/>
    <col width="8" customWidth="1" style="38" min="5" max="5"/>
    <col width="13" customWidth="1" style="38" min="6" max="6"/>
    <col width="14" customWidth="1" style="38" min="7" max="7"/>
    <col width="12" customWidth="1" style="38" min="8" max="8"/>
    <col width="14" customWidth="1" style="38" min="9" max="9"/>
    <col width="13" customWidth="1" style="38" min="10" max="10"/>
  </cols>
  <sheetData>
    <row r="1" ht="44.1" customHeight="1" s="38">
      <c r="A1" s="43" t="inlineStr">
        <is>
          <t>見   積   書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 ht="21.95" customHeight="1" s="38">
      <c r="A2" s="40" t="inlineStr">
        <is>
          <t>견  적  번  호</t>
        </is>
      </c>
      <c r="B2" s="25" t="n"/>
      <c r="C2" s="44" t="inlineStr">
        <is>
          <t>WOCS-2026-001</t>
        </is>
      </c>
      <c r="D2" s="25" t="n"/>
      <c r="E2" s="40" t="inlineStr">
        <is>
          <t>작  성  일</t>
        </is>
      </c>
      <c r="F2" s="25" t="n"/>
      <c r="G2" s="48">
        <f>TEXT(TODAY(),"YYYY년 MM월 DD일")</f>
        <v/>
      </c>
      <c r="H2" s="24" t="n"/>
      <c r="I2" s="25" t="n"/>
      <c r="J2" s="34" t="inlineStr">
        <is>
          <t>유효: 10일</t>
        </is>
      </c>
    </row>
    <row r="3" ht="21.95" customHeight="1" s="38">
      <c r="A3" s="42" t="inlineStr">
        <is>
          <t>■  수  신  /  고  객  정  보</t>
        </is>
      </c>
      <c r="B3" s="24" t="n"/>
      <c r="C3" s="24" t="n"/>
      <c r="D3" s="24" t="n"/>
      <c r="E3" s="25" t="n"/>
      <c r="F3" s="36" t="inlineStr">
        <is>
          <t>공  급  자</t>
        </is>
      </c>
      <c r="G3" s="40" t="inlineStr">
        <is>
          <t>사업자
등록번호</t>
        </is>
      </c>
      <c r="H3" s="32" t="inlineStr">
        <is>
          <t>465-02-03270</t>
        </is>
      </c>
      <c r="I3" s="25" t="n"/>
      <c r="J3" s="4" t="n"/>
    </row>
    <row r="4" ht="21.95" customHeight="1" s="38">
      <c r="A4" s="40" t="inlineStr">
        <is>
          <t>고 객 명 (업체명)</t>
        </is>
      </c>
      <c r="B4" s="30" t="n"/>
      <c r="C4" s="24" t="n"/>
      <c r="D4" s="24" t="n"/>
      <c r="E4" s="25" t="n"/>
      <c r="F4" s="46" t="n"/>
      <c r="G4" s="40" t="inlineStr">
        <is>
          <t>상  호</t>
        </is>
      </c>
      <c r="H4" s="32" t="inlineStr">
        <is>
          <t>우성어닝천막공사캠프시스템</t>
        </is>
      </c>
      <c r="I4" s="25" t="n"/>
      <c r="J4" s="4" t="inlineStr">
        <is>
          <t>대표자: 김우성</t>
        </is>
      </c>
    </row>
    <row r="5" ht="21.95" customHeight="1" s="38">
      <c r="A5" s="40" t="inlineStr">
        <is>
          <t>현 장 주 소</t>
        </is>
      </c>
      <c r="B5" s="30" t="n"/>
      <c r="C5" s="24" t="n"/>
      <c r="D5" s="24" t="n"/>
      <c r="E5" s="25" t="n"/>
      <c r="F5" s="46" t="n"/>
      <c r="G5" s="40" t="inlineStr">
        <is>
          <t>사업장소재지</t>
        </is>
      </c>
      <c r="H5" s="52" t="inlineStr">
        <is>
          <t>전남 화순군 사평면 유마로 592</t>
        </is>
      </c>
      <c r="I5" s="25" t="n"/>
      <c r="J5" s="4" t="n"/>
    </row>
    <row r="6" ht="21.95" customHeight="1" s="38">
      <c r="A6" s="40" t="inlineStr">
        <is>
          <t>연 락 처</t>
        </is>
      </c>
      <c r="B6" s="30" t="n"/>
      <c r="C6" s="24" t="n"/>
      <c r="D6" s="24" t="n"/>
      <c r="E6" s="25" t="n"/>
      <c r="F6" s="46" t="n"/>
      <c r="G6" s="40" t="inlineStr">
        <is>
          <t>업  태</t>
        </is>
      </c>
      <c r="H6" s="32" t="inlineStr">
        <is>
          <t>제조업, 건설업</t>
        </is>
      </c>
      <c r="I6" s="25" t="n"/>
      <c r="J6" s="4" t="inlineStr">
        <is>
          <t>종  목: 천막·어닝·방수포·구조물</t>
        </is>
      </c>
    </row>
    <row r="7" ht="21.95" customHeight="1" s="38">
      <c r="A7" s="40" t="inlineStr">
        <is>
          <t>시공 희망일</t>
        </is>
      </c>
      <c r="B7" s="30" t="n"/>
      <c r="C7" s="24" t="n"/>
      <c r="D7" s="24" t="n"/>
      <c r="E7" s="25" t="n"/>
      <c r="F7" s="47" t="n"/>
      <c r="G7" s="40" t="inlineStr">
        <is>
          <t>전  화</t>
        </is>
      </c>
      <c r="H7" s="32" t="inlineStr">
        <is>
          <t>010-4337-0582</t>
        </is>
      </c>
      <c r="I7" s="25" t="n"/>
      <c r="J7" s="4" t="inlineStr">
        <is>
          <t>사이트: wocs.kr</t>
        </is>
      </c>
    </row>
    <row r="8" ht="18" customHeight="1" s="38">
      <c r="A8" s="27" t="inlineStr">
        <is>
          <t xml:space="preserve">   귀하께서 의뢰하신 건에 대하여 하기와 같이 견적합니다.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5" t="n"/>
    </row>
    <row r="9" ht="21.95" customHeight="1" s="38">
      <c r="A9" s="40" t="inlineStr">
        <is>
          <t>납품 / 시공일</t>
        </is>
      </c>
      <c r="B9" s="25" t="n"/>
      <c r="C9" s="39" t="n"/>
      <c r="D9" s="25" t="n"/>
      <c r="E9" s="40" t="inlineStr">
        <is>
          <t>결  재  방  법</t>
        </is>
      </c>
      <c r="F9" s="25" t="n"/>
      <c r="G9" s="53" t="inlineStr">
        <is>
          <t>계약금 50% → 잔금 50%</t>
        </is>
      </c>
      <c r="H9" s="25" t="n"/>
      <c r="I9" s="53" t="inlineStr">
        <is>
          <t>보증기간: 납품 후 1년</t>
        </is>
      </c>
      <c r="J9" s="25" t="n"/>
    </row>
    <row r="10" ht="30" customHeight="1" s="38">
      <c r="A10" s="33" t="inlineStr">
        <is>
          <t>총    금    액    (VAT 포함)</t>
        </is>
      </c>
      <c r="B10" s="24" t="n"/>
      <c r="C10" s="24" t="n"/>
      <c r="D10" s="25" t="n"/>
      <c r="E10" s="55">
        <f>I52</f>
        <v/>
      </c>
      <c r="F10" s="24" t="n"/>
      <c r="G10" s="24" t="n"/>
      <c r="H10" s="24" t="n"/>
      <c r="I10" s="24" t="n"/>
      <c r="J10" s="25" t="n"/>
    </row>
    <row r="11" ht="3.95" customHeight="1" s="38">
      <c r="A11" s="41" t="n"/>
    </row>
    <row r="12" ht="9.949999999999999" customHeight="1" s="38">
      <c r="H12" s="37" t="inlineStr">
        <is>
          <t>(단위 : 원 / 야드 / m / m² / 본 / 개 / 식)</t>
        </is>
      </c>
    </row>
    <row r="13" ht="26.1" customHeight="1" s="38">
      <c r="A13" s="36" t="inlineStr">
        <is>
          <t>No.</t>
        </is>
      </c>
      <c r="B13" s="36" t="inlineStr">
        <is>
          <t>품  목  명  /  시  공  내  용</t>
        </is>
      </c>
      <c r="C13" s="36" t="inlineStr">
        <is>
          <t>규    격</t>
        </is>
      </c>
      <c r="D13" s="36" t="inlineStr">
        <is>
          <t>단위</t>
        </is>
      </c>
      <c r="E13" s="36" t="inlineStr">
        <is>
          <t>수  량</t>
        </is>
      </c>
      <c r="F13" s="36" t="inlineStr">
        <is>
          <t>단  가 (원)</t>
        </is>
      </c>
      <c r="G13" s="36" t="inlineStr">
        <is>
          <t>공  급  가  액</t>
        </is>
      </c>
      <c r="H13" s="36" t="inlineStr">
        <is>
          <t>부가세 (10%)</t>
        </is>
      </c>
      <c r="I13" s="6" t="inlineStr">
        <is>
          <t>합    계</t>
        </is>
      </c>
      <c r="J13" s="36" t="inlineStr">
        <is>
          <t>비  고</t>
        </is>
      </c>
    </row>
    <row r="14" ht="21" customHeight="1" s="38">
      <c r="A14" s="23" t="inlineStr">
        <is>
          <t xml:space="preserve">  ▶  자재비  ①  원단·방수포류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5" t="n"/>
    </row>
    <row r="15" ht="21.95" customHeight="1" s="38">
      <c r="A15" s="53" t="n">
        <v>1</v>
      </c>
      <c r="B15" s="32" t="inlineStr">
        <is>
          <t>PVC 방수포 (타포린, 진회색 900g/m²)</t>
        </is>
      </c>
      <c r="C15" s="7" t="inlineStr">
        <is>
          <t>0.9mm두께</t>
        </is>
      </c>
      <c r="D15" s="53" t="inlineStr">
        <is>
          <t>야드</t>
        </is>
      </c>
      <c r="E15" s="8" t="n">
        <v>1</v>
      </c>
      <c r="F15" s="9" t="n">
        <v>20000</v>
      </c>
      <c r="G15" s="10">
        <f>IF(AND(ISNUMBER(E15),ISNUMBER(F15)),E15*F15,"")</f>
        <v/>
      </c>
      <c r="H15" s="11">
        <f>IF(ISNUMBER(G15),INT(G15*0.1),"")</f>
        <v/>
      </c>
      <c r="I15" s="12">
        <f>IF(ISNUMBER(G15),G15+H15,"")</f>
        <v/>
      </c>
      <c r="J15" s="13" t="inlineStr">
        <is>
          <t>내구성 최상급</t>
        </is>
      </c>
    </row>
    <row r="16" ht="21.95" customHeight="1" s="38">
      <c r="A16" s="14" t="n">
        <v>2</v>
      </c>
      <c r="B16" s="15" t="inlineStr">
        <is>
          <t>PVC 방수포 (타포린, 흰색 900g/m²)</t>
        </is>
      </c>
      <c r="C16" s="16" t="inlineStr">
        <is>
          <t>0.9mm두께</t>
        </is>
      </c>
      <c r="D16" s="14" t="inlineStr">
        <is>
          <t>야드</t>
        </is>
      </c>
      <c r="E16" s="8" t="n">
        <v>1</v>
      </c>
      <c r="F16" s="9" t="n">
        <v>20000</v>
      </c>
      <c r="G16" s="17">
        <f>IF(AND(ISNUMBER(E16),ISNUMBER(F16)),E16*F16,"")</f>
        <v/>
      </c>
      <c r="H16" s="18">
        <f>IF(ISNUMBER(G16),INT(G16*0.1),"")</f>
        <v/>
      </c>
      <c r="I16" s="12">
        <f>IF(ISNUMBER(G16),G16+H16,"")</f>
        <v/>
      </c>
      <c r="J16" s="19" t="inlineStr">
        <is>
          <t>투명도 높음</t>
        </is>
      </c>
    </row>
    <row r="17" ht="21.95" customHeight="1" s="38">
      <c r="A17" s="53" t="n">
        <v>3</v>
      </c>
      <c r="B17" s="32" t="inlineStr">
        <is>
          <t>방염 타포린 (방염 인증, 진회색)</t>
        </is>
      </c>
      <c r="C17" s="7" t="inlineStr">
        <is>
          <t>KFI인증</t>
        </is>
      </c>
      <c r="D17" s="53" t="inlineStr">
        <is>
          <t>야드</t>
        </is>
      </c>
      <c r="E17" s="8" t="n">
        <v>1</v>
      </c>
      <c r="F17" s="9" t="n">
        <v>20000</v>
      </c>
      <c r="G17" s="10">
        <f>IF(AND(ISNUMBER(E17),ISNUMBER(F17)),E17*F17,"")</f>
        <v/>
      </c>
      <c r="H17" s="11">
        <f>IF(ISNUMBER(G17),INT(G17*0.1),"")</f>
        <v/>
      </c>
      <c r="I17" s="12">
        <f>IF(ISNUMBER(G17),G17+H17,"")</f>
        <v/>
      </c>
      <c r="J17" s="13" t="inlineStr">
        <is>
          <t>관공서·학교 필수</t>
        </is>
      </c>
    </row>
    <row r="18" ht="21.95" customHeight="1" s="38">
      <c r="A18" s="14" t="n">
        <v>4</v>
      </c>
      <c r="B18" s="15" t="inlineStr">
        <is>
          <t>아스테이지 (투명 PVC 측면막)</t>
        </is>
      </c>
      <c r="C18" s="16" t="inlineStr">
        <is>
          <t>0.3mm</t>
        </is>
      </c>
      <c r="D18" s="14" t="inlineStr">
        <is>
          <t>야드</t>
        </is>
      </c>
      <c r="E18" s="8" t="n">
        <v>1</v>
      </c>
      <c r="F18" s="9" t="n">
        <v>20000</v>
      </c>
      <c r="G18" s="17">
        <f>IF(AND(ISNUMBER(E18),ISNUMBER(F18)),E18*F18,"")</f>
        <v/>
      </c>
      <c r="H18" s="18">
        <f>IF(ISNUMBER(G18),INT(G18*0.1),"")</f>
        <v/>
      </c>
      <c r="I18" s="12">
        <f>IF(ISNUMBER(G18),G18+H18,"")</f>
        <v/>
      </c>
      <c r="J18" s="19" t="inlineStr">
        <is>
          <t>측면방풍용</t>
        </is>
      </c>
    </row>
    <row r="19" ht="21.95" customHeight="1" s="38">
      <c r="A19" s="53" t="n">
        <v>5</v>
      </c>
      <c r="B19" s="32" t="inlineStr">
        <is>
          <t>방수포 재단·고주파 제작비</t>
        </is>
      </c>
      <c r="C19" s="7" t="n"/>
      <c r="D19" s="53" t="inlineStr">
        <is>
          <t>야드</t>
        </is>
      </c>
      <c r="E19" s="8" t="n">
        <v>1</v>
      </c>
      <c r="F19" s="9" t="n">
        <v>20000</v>
      </c>
      <c r="G19" s="10">
        <f>IF(AND(ISNUMBER(E19),ISNUMBER(F19)),E19*F19,"")</f>
        <v/>
      </c>
      <c r="H19" s="11">
        <f>IF(ISNUMBER(G19),INT(G19*0.1),"")</f>
        <v/>
      </c>
      <c r="I19" s="12">
        <f>IF(ISNUMBER(G19),G19+H19,"")</f>
        <v/>
      </c>
      <c r="J19" s="13" t="inlineStr">
        <is>
          <t>봉제+아일렛포함</t>
        </is>
      </c>
    </row>
    <row r="20" ht="21.95" customHeight="1" s="38">
      <c r="A20" s="14" t="n">
        <v>6</v>
      </c>
      <c r="B20" s="15" t="inlineStr">
        <is>
          <t>오비띠 (천막 고정 보강 벨트)</t>
        </is>
      </c>
      <c r="C20" s="16" t="inlineStr">
        <is>
          <t>50mm폭</t>
        </is>
      </c>
      <c r="D20" s="14" t="inlineStr">
        <is>
          <t>m</t>
        </is>
      </c>
      <c r="E20" s="8" t="n">
        <v>1</v>
      </c>
      <c r="F20" s="9" t="n">
        <v>20000</v>
      </c>
      <c r="G20" s="17">
        <f>IF(AND(ISNUMBER(E20),ISNUMBER(F20)),E20*F20,"")</f>
        <v/>
      </c>
      <c r="H20" s="18">
        <f>IF(ISNUMBER(G20),INT(G20*0.1),"")</f>
        <v/>
      </c>
      <c r="I20" s="12">
        <f>IF(ISNUMBER(G20),G20+H20,"")</f>
        <v/>
      </c>
      <c r="J20" s="19" t="inlineStr">
        <is>
          <t>내부 보강재</t>
        </is>
      </c>
    </row>
    <row r="21" ht="21.95" customHeight="1" s="38">
      <c r="A21" s="53" t="n">
        <v>7</v>
      </c>
      <c r="B21" s="32" t="inlineStr">
        <is>
          <t>로프 및 아일렛</t>
        </is>
      </c>
      <c r="C21" s="7" t="inlineStr">
        <is>
          <t>4mm PP</t>
        </is>
      </c>
      <c r="D21" s="53" t="inlineStr">
        <is>
          <t>m</t>
        </is>
      </c>
      <c r="E21" s="8" t="n">
        <v>1</v>
      </c>
      <c r="F21" s="9" t="n">
        <v>20000</v>
      </c>
      <c r="G21" s="10">
        <f>IF(AND(ISNUMBER(E21),ISNUMBER(F21)),E21*F21,"")</f>
        <v/>
      </c>
      <c r="H21" s="11">
        <f>IF(ISNUMBER(G21),INT(G21*0.1),"")</f>
        <v/>
      </c>
      <c r="I21" s="12">
        <f>IF(ISNUMBER(G21),G21+H21,"")</f>
        <v/>
      </c>
      <c r="J21" s="13" t="inlineStr">
        <is>
          <t>고정 로프</t>
        </is>
      </c>
    </row>
    <row r="22" ht="21" customHeight="1" s="38">
      <c r="A22" s="23" t="inlineStr">
        <is>
          <t xml:space="preserve">  ▶  자재비  ②  철골·파이프 구조물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5" t="n"/>
    </row>
    <row r="23" ht="21.95" customHeight="1" s="38">
      <c r="A23" s="14" t="n">
        <v>8</v>
      </c>
      <c r="B23" s="15" t="inlineStr">
        <is>
          <t>각파이프 (아연도금)</t>
        </is>
      </c>
      <c r="C23" s="16" t="inlineStr">
        <is>
          <t>40×40×1.8T</t>
        </is>
      </c>
      <c r="D23" s="14" t="inlineStr">
        <is>
          <t>본</t>
        </is>
      </c>
      <c r="E23" s="8" t="n">
        <v>1</v>
      </c>
      <c r="F23" s="9" t="n">
        <v>20000</v>
      </c>
      <c r="G23" s="17">
        <f>IF(AND(ISNUMBER(E23),ISNUMBER(F23)),E23*F23,"")</f>
        <v/>
      </c>
      <c r="H23" s="18">
        <f>IF(ISNUMBER(G23),INT(G23*0.1),"")</f>
        <v/>
      </c>
      <c r="I23" s="12">
        <f>IF(ISNUMBER(G23),G23+H23,"")</f>
        <v/>
      </c>
      <c r="J23" s="19" t="inlineStr">
        <is>
          <t>기본 프레임</t>
        </is>
      </c>
    </row>
    <row r="24" ht="21.95" customHeight="1" s="38">
      <c r="A24" s="53" t="n">
        <v>9</v>
      </c>
      <c r="B24" s="32" t="inlineStr">
        <is>
          <t>각파이프 (아연도금)</t>
        </is>
      </c>
      <c r="C24" s="7" t="inlineStr">
        <is>
          <t>50×50×2.3T</t>
        </is>
      </c>
      <c r="D24" s="53" t="inlineStr">
        <is>
          <t>본</t>
        </is>
      </c>
      <c r="E24" s="8" t="n">
        <v>1</v>
      </c>
      <c r="F24" s="9" t="n">
        <v>20000</v>
      </c>
      <c r="G24" s="10">
        <f>IF(AND(ISNUMBER(E24),ISNUMBER(F24)),E24*F24,"")</f>
        <v/>
      </c>
      <c r="H24" s="11">
        <f>IF(ISNUMBER(G24),INT(G24*0.1),"")</f>
        <v/>
      </c>
      <c r="I24" s="12">
        <f>IF(ISNUMBER(G24),G24+H24,"")</f>
        <v/>
      </c>
      <c r="J24" s="13" t="inlineStr">
        <is>
          <t>대형 구조용</t>
        </is>
      </c>
    </row>
    <row r="25" ht="21.95" customHeight="1" s="38">
      <c r="A25" s="14" t="n">
        <v>10</v>
      </c>
      <c r="B25" s="15" t="inlineStr">
        <is>
          <t>원형파이프 기둥 (아연도금)</t>
        </is>
      </c>
      <c r="C25" s="16" t="inlineStr">
        <is>
          <t>Ø60.5×2.3T</t>
        </is>
      </c>
      <c r="D25" s="14" t="inlineStr">
        <is>
          <t>본</t>
        </is>
      </c>
      <c r="E25" s="8" t="n">
        <v>1</v>
      </c>
      <c r="F25" s="9" t="n">
        <v>20000</v>
      </c>
      <c r="G25" s="17">
        <f>IF(AND(ISNUMBER(E25),ISNUMBER(F25)),E25*F25,"")</f>
        <v/>
      </c>
      <c r="H25" s="18">
        <f>IF(ISNUMBER(G25),INT(G25*0.1),"")</f>
        <v/>
      </c>
      <c r="I25" s="12">
        <f>IF(ISNUMBER(G25),G25+H25,"")</f>
        <v/>
      </c>
      <c r="J25" s="19" t="inlineStr">
        <is>
          <t>기둥재</t>
        </is>
      </c>
    </row>
    <row r="26" ht="21.95" customHeight="1" s="38">
      <c r="A26" s="53" t="n">
        <v>11</v>
      </c>
      <c r="B26" s="32" t="inlineStr">
        <is>
          <t>H빔 (철골 주 구조재)</t>
        </is>
      </c>
      <c r="C26" s="7" t="inlineStr">
        <is>
          <t>100×100×6T</t>
        </is>
      </c>
      <c r="D26" s="53" t="inlineStr">
        <is>
          <t>m</t>
        </is>
      </c>
      <c r="E26" s="8" t="n">
        <v>1</v>
      </c>
      <c r="F26" s="9" t="n">
        <v>20000</v>
      </c>
      <c r="G26" s="10">
        <f>IF(AND(ISNUMBER(E26),ISNUMBER(F26)),E26*F26,"")</f>
        <v/>
      </c>
      <c r="H26" s="11">
        <f>IF(ISNUMBER(G26),INT(G26*0.1),"")</f>
        <v/>
      </c>
      <c r="I26" s="12">
        <f>IF(ISNUMBER(G26),G26+H26,"")</f>
        <v/>
      </c>
      <c r="J26" s="13" t="inlineStr">
        <is>
          <t>대형 차양지붕</t>
        </is>
      </c>
    </row>
    <row r="27" ht="21.95" customHeight="1" s="38">
      <c r="A27" s="14" t="n">
        <v>12</v>
      </c>
      <c r="B27" s="15" t="inlineStr">
        <is>
          <t>플랫바 (연결 철물)</t>
        </is>
      </c>
      <c r="C27" s="16" t="inlineStr">
        <is>
          <t>6T×40×L</t>
        </is>
      </c>
      <c r="D27" s="14" t="inlineStr">
        <is>
          <t>개</t>
        </is>
      </c>
      <c r="E27" s="8" t="n">
        <v>1</v>
      </c>
      <c r="F27" s="9" t="n">
        <v>20000</v>
      </c>
      <c r="G27" s="17">
        <f>IF(AND(ISNUMBER(E27),ISNUMBER(F27)),E27*F27,"")</f>
        <v/>
      </c>
      <c r="H27" s="18">
        <f>IF(ISNUMBER(G27),INT(G27*0.1),"")</f>
        <v/>
      </c>
      <c r="I27" s="12">
        <f>IF(ISNUMBER(G27),G27+H27,"")</f>
        <v/>
      </c>
      <c r="J27" s="19" t="inlineStr">
        <is>
          <t>조인트 연결</t>
        </is>
      </c>
    </row>
    <row r="28" ht="21.95" customHeight="1" s="38">
      <c r="A28" s="53" t="n">
        <v>13</v>
      </c>
      <c r="B28" s="32" t="inlineStr">
        <is>
          <t>앵커 볼트 세트</t>
        </is>
      </c>
      <c r="C28" s="7" t="inlineStr">
        <is>
          <t>M12×200</t>
        </is>
      </c>
      <c r="D28" s="53" t="inlineStr">
        <is>
          <t>세트</t>
        </is>
      </c>
      <c r="E28" s="8" t="n">
        <v>1</v>
      </c>
      <c r="F28" s="9" t="n">
        <v>20000</v>
      </c>
      <c r="G28" s="10">
        <f>IF(AND(ISNUMBER(E28),ISNUMBER(F28)),E28*F28,"")</f>
        <v/>
      </c>
      <c r="H28" s="11">
        <f>IF(ISNUMBER(G28),INT(G28*0.1),"")</f>
        <v/>
      </c>
      <c r="I28" s="12">
        <f>IF(ISNUMBER(G28),G28+H28,"")</f>
        <v/>
      </c>
      <c r="J28" s="13" t="inlineStr">
        <is>
          <t>기초 고정</t>
        </is>
      </c>
    </row>
    <row r="29" ht="21.95" customHeight="1" s="38">
      <c r="A29" s="14" t="n">
        <v>14</v>
      </c>
      <c r="B29" s="15" t="inlineStr">
        <is>
          <t>설치부자재 일체 (볼트·너트·와셔)</t>
        </is>
      </c>
      <c r="C29" s="16" t="n"/>
      <c r="D29" s="14" t="inlineStr">
        <is>
          <t>식</t>
        </is>
      </c>
      <c r="E29" s="8" t="n">
        <v>1</v>
      </c>
      <c r="F29" s="9" t="n">
        <v>20000</v>
      </c>
      <c r="G29" s="17">
        <f>IF(AND(ISNUMBER(E29),ISNUMBER(F29)),E29*F29,"")</f>
        <v/>
      </c>
      <c r="H29" s="18">
        <f>IF(ISNUMBER(G29),INT(G29*0.1),"")</f>
        <v/>
      </c>
      <c r="I29" s="12">
        <f>IF(ISNUMBER(G29),G29+H29,"")</f>
        <v/>
      </c>
      <c r="J29" s="19" t="n"/>
    </row>
    <row r="30" ht="21" customHeight="1" s="38">
      <c r="A30" s="23" t="inlineStr">
        <is>
          <t xml:space="preserve">  ▶  자재비  ③  부속·마감재 (선택)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5" t="n"/>
    </row>
    <row r="31" ht="21.95" customHeight="1" s="38">
      <c r="A31" s="53" t="n">
        <v>15</v>
      </c>
      <c r="B31" s="32" t="inlineStr">
        <is>
          <t>알루미늄 커튼레일 (이동식)</t>
        </is>
      </c>
      <c r="C31" s="7" t="inlineStr">
        <is>
          <t>알루미늄</t>
        </is>
      </c>
      <c r="D31" s="53" t="inlineStr">
        <is>
          <t>m</t>
        </is>
      </c>
      <c r="E31" s="8" t="n">
        <v>1</v>
      </c>
      <c r="F31" s="9" t="n">
        <v>20000</v>
      </c>
      <c r="G31" s="10">
        <f>IF(AND(ISNUMBER(E31),ISNUMBER(F31)),E31*F31,"")</f>
        <v/>
      </c>
      <c r="H31" s="11">
        <f>IF(ISNUMBER(G31),INT(G31*0.1),"")</f>
        <v/>
      </c>
      <c r="I31" s="12">
        <f>IF(ISNUMBER(G31),G31+H31,"")</f>
        <v/>
      </c>
      <c r="J31" s="13" t="inlineStr">
        <is>
          <t>슬라이딩 개폐</t>
        </is>
      </c>
    </row>
    <row r="32" ht="21.95" customHeight="1" s="38">
      <c r="A32" s="14" t="n">
        <v>16</v>
      </c>
      <c r="B32" s="15" t="inlineStr">
        <is>
          <t>레일바퀴 (나일론)</t>
        </is>
      </c>
      <c r="C32" s="16" t="inlineStr">
        <is>
          <t>40mm</t>
        </is>
      </c>
      <c r="D32" s="14" t="inlineStr">
        <is>
          <t>개</t>
        </is>
      </c>
      <c r="E32" s="8" t="n">
        <v>1</v>
      </c>
      <c r="F32" s="9" t="n">
        <v>20000</v>
      </c>
      <c r="G32" s="17">
        <f>IF(AND(ISNUMBER(E32),ISNUMBER(F32)),E32*F32,"")</f>
        <v/>
      </c>
      <c r="H32" s="18">
        <f>IF(ISNUMBER(G32),INT(G32*0.1),"")</f>
        <v/>
      </c>
      <c r="I32" s="12">
        <f>IF(ISNUMBER(G32),G32+H32,"")</f>
        <v/>
      </c>
      <c r="J32" s="19" t="inlineStr">
        <is>
          <t>레일용</t>
        </is>
      </c>
    </row>
    <row r="33" ht="21.95" customHeight="1" s="38">
      <c r="A33" s="53" t="n">
        <v>17</v>
      </c>
      <c r="B33" s="32" t="inlineStr">
        <is>
          <t>폴리카보네이트 패널 (지붕재 선택)</t>
        </is>
      </c>
      <c r="C33" s="7" t="inlineStr">
        <is>
          <t>5mm 투명</t>
        </is>
      </c>
      <c r="D33" s="53" t="inlineStr">
        <is>
          <t>m²</t>
        </is>
      </c>
      <c r="E33" s="8" t="n">
        <v>1</v>
      </c>
      <c r="F33" s="9" t="n">
        <v>20000</v>
      </c>
      <c r="G33" s="10">
        <f>IF(AND(ISNUMBER(E33),ISNUMBER(F33)),E33*F33,"")</f>
        <v/>
      </c>
      <c r="H33" s="11">
        <f>IF(ISNUMBER(G33),INT(G33*0.1),"")</f>
        <v/>
      </c>
      <c r="I33" s="12">
        <f>IF(ISNUMBER(G33),G33+H33,"")</f>
        <v/>
      </c>
      <c r="J33" s="13" t="inlineStr">
        <is>
          <t>채광 가능</t>
        </is>
      </c>
    </row>
    <row r="34" ht="21.95" customHeight="1" s="38">
      <c r="A34" s="14" t="n">
        <v>18</v>
      </c>
      <c r="B34" s="15" t="inlineStr">
        <is>
          <t>방충망 (선택)</t>
        </is>
      </c>
      <c r="C34" s="16" t="inlineStr">
        <is>
          <t>18×16mesh</t>
        </is>
      </c>
      <c r="D34" s="14" t="inlineStr">
        <is>
          <t>m²</t>
        </is>
      </c>
      <c r="E34" s="8" t="n">
        <v>1</v>
      </c>
      <c r="F34" s="9" t="n">
        <v>20000</v>
      </c>
      <c r="G34" s="17">
        <f>IF(AND(ISNUMBER(E34),ISNUMBER(F34)),E34*F34,"")</f>
        <v/>
      </c>
      <c r="H34" s="18">
        <f>IF(ISNUMBER(G34),INT(G34*0.1),"")</f>
        <v/>
      </c>
      <c r="I34" s="12">
        <f>IF(ISNUMBER(G34),G34+H34,"")</f>
        <v/>
      </c>
      <c r="J34" s="19" t="inlineStr">
        <is>
          <t>하절기 방충</t>
        </is>
      </c>
    </row>
    <row r="35" ht="21.95" customHeight="1" s="38">
      <c r="A35" s="53" t="n">
        <v>19</v>
      </c>
      <c r="B35" s="32" t="inlineStr">
        <is>
          <t>실리콘 코킹 (방수 마감)</t>
        </is>
      </c>
      <c r="C35" s="7" t="inlineStr">
        <is>
          <t>비초산형</t>
        </is>
      </c>
      <c r="D35" s="53" t="inlineStr">
        <is>
          <t>식</t>
        </is>
      </c>
      <c r="E35" s="8" t="n">
        <v>1</v>
      </c>
      <c r="F35" s="9" t="n">
        <v>20000</v>
      </c>
      <c r="G35" s="10">
        <f>IF(AND(ISNUMBER(E35),ISNUMBER(F35)),E35*F35,"")</f>
        <v/>
      </c>
      <c r="H35" s="11">
        <f>IF(ISNUMBER(G35),INT(G35*0.1),"")</f>
        <v/>
      </c>
      <c r="I35" s="12">
        <f>IF(ISNUMBER(G35),G35+H35,"")</f>
        <v/>
      </c>
      <c r="J35" s="13" t="inlineStr">
        <is>
          <t>방수 마감</t>
        </is>
      </c>
    </row>
    <row r="36" ht="21.95" customHeight="1" s="38">
      <c r="A36" s="14" t="n">
        <v>20</v>
      </c>
      <c r="B36" s="15" t="inlineStr">
        <is>
          <t>방청 도장 (철골 녹 방지)</t>
        </is>
      </c>
      <c r="C36" s="16" t="inlineStr">
        <is>
          <t>2회 도장</t>
        </is>
      </c>
      <c r="D36" s="14" t="inlineStr">
        <is>
          <t>식</t>
        </is>
      </c>
      <c r="E36" s="8" t="n">
        <v>1</v>
      </c>
      <c r="F36" s="9" t="n">
        <v>20000</v>
      </c>
      <c r="G36" s="17">
        <f>IF(AND(ISNUMBER(E36),ISNUMBER(F36)),E36*F36,"")</f>
        <v/>
      </c>
      <c r="H36" s="18">
        <f>IF(ISNUMBER(G36),INT(G36*0.1),"")</f>
        <v/>
      </c>
      <c r="I36" s="12">
        <f>IF(ISNUMBER(G36),G36+H36,"")</f>
        <v/>
      </c>
      <c r="J36" s="19" t="inlineStr">
        <is>
          <t>구조물 보호</t>
        </is>
      </c>
    </row>
    <row r="37" ht="21" customHeight="1" s="38">
      <c r="A37" s="23" t="inlineStr">
        <is>
          <t xml:space="preserve">  ▶  시공비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5" t="n"/>
    </row>
    <row r="38" ht="21.95" customHeight="1" s="38">
      <c r="A38" s="53" t="n">
        <v>21</v>
      </c>
      <c r="B38" s="32" t="inlineStr">
        <is>
          <t>현장 실측 및 설계</t>
        </is>
      </c>
      <c r="C38" s="7" t="n"/>
      <c r="D38" s="53" t="inlineStr">
        <is>
          <t>식</t>
        </is>
      </c>
      <c r="E38" s="8" t="n">
        <v>1</v>
      </c>
      <c r="F38" s="9" t="n">
        <v>20000</v>
      </c>
      <c r="G38" s="10">
        <f>IF(AND(ISNUMBER(E38),ISNUMBER(F38)),E38*F38,"")</f>
        <v/>
      </c>
      <c r="H38" s="11">
        <f>IF(ISNUMBER(G38),INT(G38*0.1),"")</f>
        <v/>
      </c>
      <c r="I38" s="12">
        <f>IF(ISNUMBER(G38),G38+H38,"")</f>
        <v/>
      </c>
      <c r="J38" s="13" t="inlineStr">
        <is>
          <t>견적 전 필수</t>
        </is>
      </c>
    </row>
    <row r="39" ht="21.95" customHeight="1" s="38">
      <c r="A39" s="14" t="n">
        <v>22</v>
      </c>
      <c r="B39" s="15" t="inlineStr">
        <is>
          <t>기초 앵커·콘크리트 공사</t>
        </is>
      </c>
      <c r="C39" s="16" t="inlineStr">
        <is>
          <t>토질별 조건</t>
        </is>
      </c>
      <c r="D39" s="14" t="inlineStr">
        <is>
          <t>개소</t>
        </is>
      </c>
      <c r="E39" s="8" t="n">
        <v>1</v>
      </c>
      <c r="F39" s="9" t="n">
        <v>20000</v>
      </c>
      <c r="G39" s="17">
        <f>IF(AND(ISNUMBER(E39),ISNUMBER(F39)),E39*F39,"")</f>
        <v/>
      </c>
      <c r="H39" s="18">
        <f>IF(ISNUMBER(G39),INT(G39*0.1),"")</f>
        <v/>
      </c>
      <c r="I39" s="12">
        <f>IF(ISNUMBER(G39),G39+H39,"")</f>
        <v/>
      </c>
      <c r="J39" s="19" t="inlineStr">
        <is>
          <t>지반 조건별</t>
        </is>
      </c>
    </row>
    <row r="40" ht="21.95" customHeight="1" s="38">
      <c r="A40" s="53" t="n">
        <v>23</v>
      </c>
      <c r="B40" s="32" t="inlineStr">
        <is>
          <t>철골 구조물 용접·조립</t>
        </is>
      </c>
      <c r="C40" s="7" t="n"/>
      <c r="D40" s="53" t="inlineStr">
        <is>
          <t>식</t>
        </is>
      </c>
      <c r="E40" s="8" t="n">
        <v>1</v>
      </c>
      <c r="F40" s="9" t="n">
        <v>20000</v>
      </c>
      <c r="G40" s="10">
        <f>IF(AND(ISNUMBER(E40),ISNUMBER(F40)),E40*F40,"")</f>
        <v/>
      </c>
      <c r="H40" s="11">
        <f>IF(ISNUMBER(G40),INT(G40*0.1),"")</f>
        <v/>
      </c>
      <c r="I40" s="12">
        <f>IF(ISNUMBER(G40),G40+H40,"")</f>
        <v/>
      </c>
      <c r="J40" s="13" t="n"/>
    </row>
    <row r="41" ht="21.95" customHeight="1" s="38">
      <c r="A41" s="14" t="n">
        <v>24</v>
      </c>
      <c r="B41" s="15" t="inlineStr">
        <is>
          <t>설치 인건비 (2인 1팀)</t>
        </is>
      </c>
      <c r="C41" s="16" t="n"/>
      <c r="D41" s="14" t="inlineStr">
        <is>
          <t>일</t>
        </is>
      </c>
      <c r="E41" s="8" t="n">
        <v>1</v>
      </c>
      <c r="F41" s="9" t="n">
        <v>20000</v>
      </c>
      <c r="G41" s="17">
        <f>IF(AND(ISNUMBER(E41),ISNUMBER(F41)),E41*F41,"")</f>
        <v/>
      </c>
      <c r="H41" s="18">
        <f>IF(ISNUMBER(G41),INT(G41*0.1),"")</f>
        <v/>
      </c>
      <c r="I41" s="12">
        <f>IF(ISNUMBER(G41),G41+H41,"")</f>
        <v/>
      </c>
      <c r="J41" s="19" t="inlineStr">
        <is>
          <t>출장비 포함</t>
        </is>
      </c>
    </row>
    <row r="42" ht="21.95" customHeight="1" s="38">
      <c r="A42" s="53" t="n">
        <v>25</v>
      </c>
      <c r="B42" s="32" t="inlineStr">
        <is>
          <t>방청·마감 도장 인건비</t>
        </is>
      </c>
      <c r="C42" s="7" t="n"/>
      <c r="D42" s="53" t="inlineStr">
        <is>
          <t>식</t>
        </is>
      </c>
      <c r="E42" s="8" t="n">
        <v>1</v>
      </c>
      <c r="F42" s="9" t="n">
        <v>20000</v>
      </c>
      <c r="G42" s="10">
        <f>IF(AND(ISNUMBER(E42),ISNUMBER(F42)),E42*F42,"")</f>
        <v/>
      </c>
      <c r="H42" s="11">
        <f>IF(ISNUMBER(G42),INT(G42*0.1),"")</f>
        <v/>
      </c>
      <c r="I42" s="12">
        <f>IF(ISNUMBER(G42),G42+H42,"")</f>
        <v/>
      </c>
      <c r="J42" s="13" t="inlineStr">
        <is>
          <t>구조물 도장</t>
        </is>
      </c>
    </row>
    <row r="43" ht="21.95" customHeight="1" s="38">
      <c r="A43" s="14" t="n">
        <v>26</v>
      </c>
      <c r="B43" s="15" t="inlineStr">
        <is>
          <t>폐자재 정리·처리비</t>
        </is>
      </c>
      <c r="C43" s="16" t="n"/>
      <c r="D43" s="14" t="inlineStr">
        <is>
          <t>식</t>
        </is>
      </c>
      <c r="E43" s="8" t="n">
        <v>1</v>
      </c>
      <c r="F43" s="9" t="n">
        <v>20000</v>
      </c>
      <c r="G43" s="17">
        <f>IF(AND(ISNUMBER(E43),ISNUMBER(F43)),E43*F43,"")</f>
        <v/>
      </c>
      <c r="H43" s="18">
        <f>IF(ISNUMBER(G43),INT(G43*0.1),"")</f>
        <v/>
      </c>
      <c r="I43" s="12">
        <f>IF(ISNUMBER(G43),G43+H43,"")</f>
        <v/>
      </c>
      <c r="J43" s="19" t="inlineStr">
        <is>
          <t>현장 클린</t>
        </is>
      </c>
    </row>
    <row r="44" ht="21.95" customHeight="1" s="38">
      <c r="A44" s="53" t="n">
        <v>27</v>
      </c>
      <c r="B44" s="32" t="inlineStr">
        <is>
          <t>운반비 (전국 직시공)</t>
        </is>
      </c>
      <c r="C44" s="7" t="n"/>
      <c r="D44" s="53" t="inlineStr">
        <is>
          <t>식</t>
        </is>
      </c>
      <c r="E44" s="8" t="n">
        <v>1</v>
      </c>
      <c r="F44" s="9" t="n">
        <v>20000</v>
      </c>
      <c r="G44" s="10">
        <f>IF(AND(ISNUMBER(E44),ISNUMBER(F44)),E44*F44,"")</f>
        <v/>
      </c>
      <c r="H44" s="11">
        <f>IF(ISNUMBER(G44),INT(G44*0.1),"")</f>
        <v/>
      </c>
      <c r="I44" s="12">
        <f>IF(ISNUMBER(G44),G44+H44,"")</f>
        <v/>
      </c>
      <c r="J44" s="13" t="n"/>
    </row>
    <row r="45" ht="21.95" customHeight="1" s="38">
      <c r="A45" s="14" t="n">
        <v>28</v>
      </c>
      <c r="B45" s="15" t="inlineStr">
        <is>
          <t>공과잡비</t>
        </is>
      </c>
      <c r="C45" s="16" t="n"/>
      <c r="D45" s="14" t="inlineStr">
        <is>
          <t>식</t>
        </is>
      </c>
      <c r="E45" s="8" t="n">
        <v>1</v>
      </c>
      <c r="F45" s="9" t="n">
        <v>100000</v>
      </c>
      <c r="G45" s="17">
        <f>IF(AND(ISNUMBER(E45),ISNUMBER(F45)),E45*F45,"")</f>
        <v/>
      </c>
      <c r="H45" s="18">
        <f>IF(ISNUMBER(G45),INT(G45*0.1),"")</f>
        <v/>
      </c>
      <c r="I45" s="12">
        <f>IF(ISNUMBER(G45),G45+H45,"")</f>
        <v/>
      </c>
      <c r="J45" s="19" t="inlineStr">
        <is>
          <t>소모품 일체</t>
        </is>
      </c>
    </row>
    <row r="46" ht="21.95" customHeight="1" s="38">
      <c r="A46" s="20" t="n"/>
      <c r="B46" s="20" t="n"/>
      <c r="C46" s="20" t="n"/>
      <c r="D46" s="20" t="n"/>
      <c r="E46" s="21" t="n"/>
      <c r="F46" s="21" t="n"/>
      <c r="G46" s="56">
        <f>IF(AND(ISNUMBER(E46),ISNUMBER(F46)),E46*F46,"")</f>
        <v/>
      </c>
      <c r="H46" s="11">
        <f>IF(ISNUMBER(G46),INT(G46*0.1),"")</f>
        <v/>
      </c>
      <c r="I46" s="12">
        <f>IF(ISNUMBER(G46),G46+H46,"")</f>
        <v/>
      </c>
      <c r="J46" s="20" t="n"/>
    </row>
    <row r="47" ht="21.95" customHeight="1" s="38">
      <c r="A47" s="22" t="n"/>
      <c r="B47" s="22" t="n"/>
      <c r="C47" s="22" t="n"/>
      <c r="D47" s="22" t="n"/>
      <c r="E47" s="21" t="n"/>
      <c r="F47" s="21" t="n"/>
      <c r="G47" s="57">
        <f>IF(AND(ISNUMBER(E47),ISNUMBER(F47)),E47*F47,"")</f>
        <v/>
      </c>
      <c r="H47" s="18">
        <f>IF(ISNUMBER(G47),INT(G47*0.1),"")</f>
        <v/>
      </c>
      <c r="I47" s="12">
        <f>IF(ISNUMBER(G47),G47+H47,"")</f>
        <v/>
      </c>
      <c r="J47" s="22" t="n"/>
    </row>
    <row r="48" ht="21.95" customHeight="1" s="38">
      <c r="A48" s="20" t="n"/>
      <c r="B48" s="20" t="n"/>
      <c r="C48" s="20" t="n"/>
      <c r="D48" s="20" t="n"/>
      <c r="E48" s="21" t="n"/>
      <c r="F48" s="21" t="n"/>
      <c r="G48" s="56">
        <f>IF(AND(ISNUMBER(E48),ISNUMBER(F48)),E48*F48,"")</f>
        <v/>
      </c>
      <c r="H48" s="11">
        <f>IF(ISNUMBER(G48),INT(G48*0.1),"")</f>
        <v/>
      </c>
      <c r="I48" s="12">
        <f>IF(ISNUMBER(G48),G48+H48,"")</f>
        <v/>
      </c>
      <c r="J48" s="20" t="n"/>
    </row>
    <row r="49" ht="5.1" customHeight="1" s="38"/>
    <row r="50" ht="24" customHeight="1" s="38">
      <c r="A50" s="28" t="inlineStr">
        <is>
          <t>공  급  가  액  합  계  (VAT 제외)</t>
        </is>
      </c>
      <c r="B50" s="24" t="n"/>
      <c r="C50" s="24" t="n"/>
      <c r="D50" s="24" t="n"/>
      <c r="E50" s="24" t="n"/>
      <c r="F50" s="24" t="n"/>
      <c r="G50" s="24" t="n"/>
      <c r="H50" s="25" t="n"/>
      <c r="I50" s="49">
        <f t="array" ref="I50">SUMPRODUCT(IFERROR(G15:G48*1,0))</f>
        <v/>
      </c>
      <c r="J50" s="25" t="n"/>
    </row>
    <row r="51" ht="24" customHeight="1" s="38">
      <c r="A51" s="28" t="inlineStr">
        <is>
          <t>부  가  세  합  계  (10%)</t>
        </is>
      </c>
      <c r="B51" s="24" t="n"/>
      <c r="C51" s="24" t="n"/>
      <c r="D51" s="24" t="n"/>
      <c r="E51" s="24" t="n"/>
      <c r="F51" s="24" t="n"/>
      <c r="G51" s="24" t="n"/>
      <c r="H51" s="25" t="n"/>
      <c r="I51" s="49">
        <f t="array" ref="I51">SUMPRODUCT(IFERROR(H15:H48*1,0))</f>
        <v/>
      </c>
      <c r="J51" s="25" t="n"/>
    </row>
    <row r="52" ht="30" customHeight="1" s="38">
      <c r="A52" s="50" t="inlineStr">
        <is>
          <t>총  합  계  금  액  (VAT 포함)</t>
        </is>
      </c>
      <c r="B52" s="24" t="n"/>
      <c r="C52" s="24" t="n"/>
      <c r="D52" s="24" t="n"/>
      <c r="E52" s="24" t="n"/>
      <c r="F52" s="24" t="n"/>
      <c r="G52" s="24" t="n"/>
      <c r="H52" s="25" t="n"/>
      <c r="I52" s="45">
        <f>I50+I51</f>
        <v/>
      </c>
      <c r="J52" s="25" t="n"/>
    </row>
    <row r="53" ht="21.95" customHeight="1" s="38">
      <c r="A53" s="31">
        <f>IF(I52="","","일금  "&amp;NUMBERSTRING(I52,1)&amp;"원정  (부가세 포함)")</f>
        <v/>
      </c>
      <c r="B53" s="24" t="n"/>
      <c r="C53" s="24" t="n"/>
      <c r="D53" s="24" t="n"/>
      <c r="E53" s="24" t="n"/>
      <c r="F53" s="24" t="n"/>
      <c r="G53" s="24" t="n"/>
      <c r="H53" s="24" t="n"/>
      <c r="I53" s="24" t="n"/>
      <c r="J53" s="25" t="n"/>
    </row>
    <row r="54" ht="5.1" customHeight="1" s="38"/>
    <row r="55" ht="24" customHeight="1" s="38">
      <c r="A55" s="51" t="inlineStr">
        <is>
          <t>■  특  기  사  항</t>
        </is>
      </c>
      <c r="B55" s="24" t="n"/>
      <c r="C55" s="24" t="n"/>
      <c r="D55" s="24" t="n"/>
      <c r="E55" s="24" t="n"/>
      <c r="F55" s="24" t="n"/>
      <c r="G55" s="24" t="n"/>
      <c r="H55" s="24" t="n"/>
      <c r="I55" s="24" t="n"/>
      <c r="J55" s="25" t="n"/>
    </row>
    <row r="56" ht="18" customHeight="1" s="38">
      <c r="A56" s="29" t="inlineStr">
        <is>
          <t xml:space="preserve"> ① 본 견적은 현장 실측 전 개략 견적입니다. 실측 확인 후 최종 견적서를 재발행합니다.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5" t="n"/>
    </row>
    <row r="57" ht="18" customHeight="1" s="38">
      <c r="A57" s="32" t="inlineStr">
        <is>
          <t xml:space="preserve"> ② 노란 셀 (E:수량, F:단가) 에 숫자 입력 시 공급가·부가세·합계·총금액 자동 계산.</t>
        </is>
      </c>
      <c r="B57" s="24" t="n"/>
      <c r="C57" s="24" t="n"/>
      <c r="D57" s="24" t="n"/>
      <c r="E57" s="24" t="n"/>
      <c r="F57" s="24" t="n"/>
      <c r="G57" s="24" t="n"/>
      <c r="H57" s="24" t="n"/>
      <c r="I57" s="24" t="n"/>
      <c r="J57" s="25" t="n"/>
    </row>
    <row r="58" ht="18" customHeight="1" s="38">
      <c r="A58" s="29" t="inlineStr">
        <is>
          <t xml:space="preserve"> ③ 부가세 산정: INT(공급가 × 10%) 방식 — 원 단위 절사 적용.</t>
        </is>
      </c>
      <c r="B58" s="24" t="n"/>
      <c r="C58" s="24" t="n"/>
      <c r="D58" s="24" t="n"/>
      <c r="E58" s="24" t="n"/>
      <c r="F58" s="24" t="n"/>
      <c r="G58" s="24" t="n"/>
      <c r="H58" s="24" t="n"/>
      <c r="I58" s="24" t="n"/>
      <c r="J58" s="25" t="n"/>
    </row>
    <row r="59" ht="18" customHeight="1" s="38">
      <c r="A59" s="32" t="inlineStr">
        <is>
          <t xml:space="preserve"> ④ 방염 인증 자재 (KFI) 적용 가능 — 관공서·학교·다중이용시설 필수.</t>
        </is>
      </c>
      <c r="B59" s="24" t="n"/>
      <c r="C59" s="24" t="n"/>
      <c r="D59" s="24" t="n"/>
      <c r="E59" s="24" t="n"/>
      <c r="F59" s="24" t="n"/>
      <c r="G59" s="24" t="n"/>
      <c r="H59" s="24" t="n"/>
      <c r="I59" s="24" t="n"/>
      <c r="J59" s="25" t="n"/>
    </row>
    <row r="60" ht="18" customHeight="1" s="38">
      <c r="A60" s="29" t="inlineStr">
        <is>
          <t xml:space="preserve"> ⑤ WOCS 무용접 다방향 유니버설 조인트 특허 적용 가능 — 내구성·시공성 최상.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5" t="n"/>
    </row>
    <row r="61" ht="18" customHeight="1" s="38">
      <c r="A61" s="32" t="inlineStr">
        <is>
          <t xml:space="preserve"> ⑥ 하자보수: 납품일로부터 1년 무상 A/S (자연재해·인위적 파손 제외).</t>
        </is>
      </c>
      <c r="B61" s="24" t="n"/>
      <c r="C61" s="24" t="n"/>
      <c r="D61" s="24" t="n"/>
      <c r="E61" s="24" t="n"/>
      <c r="F61" s="24" t="n"/>
      <c r="G61" s="24" t="n"/>
      <c r="H61" s="24" t="n"/>
      <c r="I61" s="24" t="n"/>
      <c r="J61" s="25" t="n"/>
    </row>
    <row r="62" ht="18" customHeight="1" s="38">
      <c r="A62" s="29" t="inlineStr">
        <is>
          <t xml:space="preserve"> ⑦ 결제: 계약금 50% → 잔금 50% (시공 완료 후) / 세금계산서 발행 가능.</t>
        </is>
      </c>
      <c r="B62" s="24" t="n"/>
      <c r="C62" s="24" t="n"/>
      <c r="D62" s="24" t="n"/>
      <c r="E62" s="24" t="n"/>
      <c r="F62" s="24" t="n"/>
      <c r="G62" s="24" t="n"/>
      <c r="H62" s="24" t="n"/>
      <c r="I62" s="24" t="n"/>
      <c r="J62" s="25" t="n"/>
    </row>
    <row r="63" ht="18" customHeight="1" s="38">
      <c r="A63" s="32" t="inlineStr">
        <is>
          <t xml:space="preserve"> ⑧ 문의: 010-4337-0582 | candlejs6@gmail.com | wocs.kr</t>
        </is>
      </c>
      <c r="B63" s="24" t="n"/>
      <c r="C63" s="24" t="n"/>
      <c r="D63" s="24" t="n"/>
      <c r="E63" s="24" t="n"/>
      <c r="F63" s="24" t="n"/>
      <c r="G63" s="24" t="n"/>
      <c r="H63" s="24" t="n"/>
      <c r="I63" s="24" t="n"/>
      <c r="J63" s="25" t="n"/>
    </row>
    <row r="64" ht="5.1" customHeight="1" s="38"/>
    <row r="65" ht="32.1" customHeight="1" s="38">
      <c r="A65" s="35" t="inlineStr">
        <is>
          <t>위 견적 내용을 확인하였으며 이에 동의합니다.</t>
        </is>
      </c>
      <c r="B65" s="24" t="n"/>
      <c r="C65" s="24" t="n"/>
      <c r="D65" s="24" t="n"/>
      <c r="E65" s="24" t="n"/>
      <c r="F65" s="24" t="n"/>
      <c r="G65" s="24" t="n"/>
      <c r="H65" s="24" t="n"/>
      <c r="I65" s="24" t="n"/>
      <c r="J65" s="25" t="n"/>
    </row>
    <row r="66" ht="45.95" customHeight="1" s="38">
      <c r="A66" s="36" t="inlineStr">
        <is>
          <t>공  급  자</t>
        </is>
      </c>
      <c r="B66" s="25" t="n"/>
      <c r="C66" s="35" t="inlineStr">
        <is>
          <t>우성어닝천막공사캠프시스템   김우성   (인)</t>
        </is>
      </c>
      <c r="D66" s="24" t="n"/>
      <c r="E66" s="24" t="n"/>
      <c r="F66" s="25" t="n"/>
      <c r="G66" s="36" t="inlineStr">
        <is>
          <t>수  급  자</t>
        </is>
      </c>
      <c r="H66" s="25" t="n"/>
      <c r="I66" s="35" t="inlineStr">
        <is>
          <t xml:space="preserve">                              (인)</t>
        </is>
      </c>
      <c r="J66" s="25" t="n"/>
    </row>
  </sheetData>
  <mergeCells count="52">
    <mergeCell ref="A8:J8"/>
    <mergeCell ref="E10:J10"/>
    <mergeCell ref="A14:J14"/>
    <mergeCell ref="A22:J22"/>
    <mergeCell ref="A62:J62"/>
    <mergeCell ref="B6:E6"/>
    <mergeCell ref="A51:H51"/>
    <mergeCell ref="A53:J53"/>
    <mergeCell ref="H4:I4"/>
    <mergeCell ref="B5:E5"/>
    <mergeCell ref="A10:D10"/>
    <mergeCell ref="J2"/>
    <mergeCell ref="C66:F66"/>
    <mergeCell ref="A63:J63"/>
    <mergeCell ref="H6:I6"/>
    <mergeCell ref="B4:E4"/>
    <mergeCell ref="A58:J58"/>
    <mergeCell ref="A30:J30"/>
    <mergeCell ref="B7:E7"/>
    <mergeCell ref="A59:J59"/>
    <mergeCell ref="A66:B66"/>
    <mergeCell ref="H12:J12"/>
    <mergeCell ref="G66:H66"/>
    <mergeCell ref="C9:D9"/>
    <mergeCell ref="I66:J66"/>
    <mergeCell ref="E9:F9"/>
    <mergeCell ref="A60:J60"/>
    <mergeCell ref="A3:E3"/>
    <mergeCell ref="A11:J11"/>
    <mergeCell ref="A50:H50"/>
    <mergeCell ref="A1:J1"/>
    <mergeCell ref="A2:B2"/>
    <mergeCell ref="C2:D2"/>
    <mergeCell ref="A61:J61"/>
    <mergeCell ref="E2:F2"/>
    <mergeCell ref="H7:I7"/>
    <mergeCell ref="A65:J65"/>
    <mergeCell ref="I52:J52"/>
    <mergeCell ref="F3:F7"/>
    <mergeCell ref="H3:I3"/>
    <mergeCell ref="G2:I2"/>
    <mergeCell ref="A37:J37"/>
    <mergeCell ref="I51:J51"/>
    <mergeCell ref="A56:J56"/>
    <mergeCell ref="A52:H52"/>
    <mergeCell ref="A55:J55"/>
    <mergeCell ref="H5:I5"/>
    <mergeCell ref="A57:J57"/>
    <mergeCell ref="I50:J50"/>
    <mergeCell ref="A9:B9"/>
    <mergeCell ref="G9:H9"/>
    <mergeCell ref="I9:J9"/>
  </mergeCells>
  <pageMargins left="0.75" right="0.75" top="1" bottom="1" header="0.5" footer="0.5"/>
  <pageSetup orientation="portrait" paperSize="9" scale="6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showGridLines="0" topLeftCell="A7" workbookViewId="0">
      <selection activeCell="A1" sqref="A1:J1"/>
    </sheetView>
  </sheetViews>
  <sheetFormatPr baseColWidth="8" defaultRowHeight="16.5"/>
  <cols>
    <col width="5" customWidth="1" style="38" min="1" max="1"/>
    <col width="26" customWidth="1" style="38" min="2" max="2"/>
    <col width="12" customWidth="1" style="38" min="3" max="3"/>
    <col width="5" customWidth="1" style="38" min="4" max="4"/>
    <col width="8" customWidth="1" style="38" min="5" max="5"/>
    <col width="13" customWidth="1" style="38" min="6" max="6"/>
    <col width="14" customWidth="1" style="38" min="7" max="7"/>
    <col width="12" customWidth="1" style="38" min="8" max="8"/>
    <col width="14" customWidth="1" style="38" min="9" max="9"/>
    <col width="13" customWidth="1" style="38" min="10" max="10"/>
  </cols>
  <sheetData>
    <row r="1" ht="44.1" customHeight="1" s="38">
      <c r="A1" s="43" t="inlineStr">
        <is>
          <t>見   積   書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 ht="21.95" customHeight="1" s="38">
      <c r="A2" s="40" t="inlineStr">
        <is>
          <t>견  적  번  호</t>
        </is>
      </c>
      <c r="B2" s="25" t="n"/>
      <c r="C2" s="44" t="inlineStr">
        <is>
          <t>WOCS-2026-001</t>
        </is>
      </c>
      <c r="D2" s="25" t="n"/>
      <c r="E2" s="40" t="inlineStr">
        <is>
          <t>작  성  일</t>
        </is>
      </c>
      <c r="F2" s="25" t="n"/>
      <c r="G2" s="54">
        <f>TEXT(TODAY(),"YYYY년 MM월 DD일")</f>
        <v/>
      </c>
      <c r="H2" s="24" t="n"/>
      <c r="I2" s="25" t="n"/>
      <c r="J2" s="34" t="inlineStr">
        <is>
          <t>유효: 10일</t>
        </is>
      </c>
    </row>
    <row r="3" ht="21.95" customHeight="1" s="38">
      <c r="A3" s="42" t="inlineStr">
        <is>
          <t>■  수  신  /  고  객  정  보</t>
        </is>
      </c>
      <c r="B3" s="24" t="n"/>
      <c r="C3" s="24" t="n"/>
      <c r="D3" s="24" t="n"/>
      <c r="E3" s="25" t="n"/>
      <c r="F3" s="36" t="inlineStr">
        <is>
          <t>공  급  자</t>
        </is>
      </c>
      <c r="G3" s="40" t="inlineStr">
        <is>
          <t>사업자
등록번호</t>
        </is>
      </c>
      <c r="H3" s="32" t="inlineStr">
        <is>
          <t>465-02-03270</t>
        </is>
      </c>
      <c r="I3" s="25" t="n"/>
      <c r="J3" s="4" t="n"/>
    </row>
    <row r="4" ht="21.95" customHeight="1" s="38">
      <c r="A4" s="40" t="inlineStr">
        <is>
          <t>고 객 명 (업체명)</t>
        </is>
      </c>
      <c r="B4" s="30" t="n"/>
      <c r="C4" s="24" t="n"/>
      <c r="D4" s="24" t="n"/>
      <c r="E4" s="25" t="n"/>
      <c r="F4" s="46" t="n"/>
      <c r="G4" s="40" t="inlineStr">
        <is>
          <t>상  호</t>
        </is>
      </c>
      <c r="H4" s="32" t="inlineStr">
        <is>
          <t>우성글램핑N텐트</t>
        </is>
      </c>
      <c r="I4" s="25" t="n"/>
      <c r="J4" s="4" t="inlineStr">
        <is>
          <t>대표자: 김우성</t>
        </is>
      </c>
    </row>
    <row r="5" ht="21.95" customHeight="1" s="38">
      <c r="A5" s="40" t="inlineStr">
        <is>
          <t>현 장 주 소</t>
        </is>
      </c>
      <c r="B5" s="30" t="n"/>
      <c r="C5" s="24" t="n"/>
      <c r="D5" s="24" t="n"/>
      <c r="E5" s="25" t="n"/>
      <c r="F5" s="46" t="n"/>
      <c r="G5" s="40" t="inlineStr">
        <is>
          <t>사업장소재지</t>
        </is>
      </c>
      <c r="H5" s="52" t="inlineStr">
        <is>
          <t>전남 화순군 사평면 유마로 592</t>
        </is>
      </c>
      <c r="I5" s="25" t="n"/>
      <c r="J5" s="4" t="n"/>
    </row>
    <row r="6" ht="21.95" customHeight="1" s="38">
      <c r="A6" s="40" t="inlineStr">
        <is>
          <t>연 락 처</t>
        </is>
      </c>
      <c r="B6" s="30" t="n"/>
      <c r="C6" s="24" t="n"/>
      <c r="D6" s="24" t="n"/>
      <c r="E6" s="25" t="n"/>
      <c r="F6" s="46" t="n"/>
      <c r="G6" s="40" t="inlineStr">
        <is>
          <t>업  태</t>
        </is>
      </c>
      <c r="H6" s="32" t="inlineStr">
        <is>
          <t>제조업, 도소매</t>
        </is>
      </c>
      <c r="I6" s="25" t="n"/>
      <c r="J6" s="4" t="inlineStr">
        <is>
          <t>종  목: 텐트·글램핑·캠핑·금속·섬유</t>
        </is>
      </c>
    </row>
    <row r="7" ht="21.95" customHeight="1" s="38">
      <c r="A7" s="40" t="inlineStr">
        <is>
          <t>시공 희망일</t>
        </is>
      </c>
      <c r="B7" s="30" t="n"/>
      <c r="C7" s="24" t="n"/>
      <c r="D7" s="24" t="n"/>
      <c r="E7" s="25" t="n"/>
      <c r="F7" s="47" t="n"/>
      <c r="G7" s="40" t="inlineStr">
        <is>
          <t>전  화</t>
        </is>
      </c>
      <c r="H7" s="32" t="inlineStr">
        <is>
          <t>010-4337-0582</t>
        </is>
      </c>
      <c r="I7" s="25" t="n"/>
      <c r="J7" s="4" t="inlineStr">
        <is>
          <t>사이트: wocs.kr</t>
        </is>
      </c>
    </row>
    <row r="8" ht="18" customHeight="1" s="38">
      <c r="A8" s="27" t="inlineStr">
        <is>
          <t xml:space="preserve">   귀하께서 의뢰하신 건에 대하여 하기와 같이 견적합니다.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5" t="n"/>
    </row>
    <row r="9" ht="21.95" customHeight="1" s="38">
      <c r="A9" s="40" t="inlineStr">
        <is>
          <t>납품 / 시공일</t>
        </is>
      </c>
      <c r="B9" s="25" t="n"/>
      <c r="C9" s="39" t="n"/>
      <c r="D9" s="25" t="n"/>
      <c r="E9" s="40" t="inlineStr">
        <is>
          <t>결  재  방  법</t>
        </is>
      </c>
      <c r="F9" s="25" t="n"/>
      <c r="G9" s="53" t="inlineStr">
        <is>
          <t>계약금 50% → 잔금 50%</t>
        </is>
      </c>
      <c r="H9" s="25" t="n"/>
      <c r="I9" s="53" t="inlineStr">
        <is>
          <t>보증기간: 납품 후 1년</t>
        </is>
      </c>
      <c r="J9" s="25" t="n"/>
    </row>
    <row r="10" ht="30" customHeight="1" s="38">
      <c r="A10" s="33" t="inlineStr">
        <is>
          <t>총    금    액    (VAT 포함)</t>
        </is>
      </c>
      <c r="B10" s="24" t="n"/>
      <c r="C10" s="24" t="n"/>
      <c r="D10" s="25" t="n"/>
      <c r="E10" s="55">
        <f>I52</f>
        <v/>
      </c>
      <c r="F10" s="24" t="n"/>
      <c r="G10" s="24" t="n"/>
      <c r="H10" s="24" t="n"/>
      <c r="I10" s="24" t="n"/>
      <c r="J10" s="25" t="n"/>
    </row>
    <row r="11" ht="3.95" customHeight="1" s="38">
      <c r="A11" s="41" t="n"/>
    </row>
    <row r="12" ht="9.949999999999999" customHeight="1" s="38">
      <c r="H12" s="37" t="inlineStr">
        <is>
          <t>(단위 : 원 / 야드 / m / m² / 본 / 개 / 식)</t>
        </is>
      </c>
    </row>
    <row r="13" ht="26.1" customHeight="1" s="38">
      <c r="A13" s="36" t="inlineStr">
        <is>
          <t>No.</t>
        </is>
      </c>
      <c r="B13" s="36" t="inlineStr">
        <is>
          <t>품  목  명  /  시  공  내  용</t>
        </is>
      </c>
      <c r="C13" s="36" t="inlineStr">
        <is>
          <t>규    격</t>
        </is>
      </c>
      <c r="D13" s="36" t="inlineStr">
        <is>
          <t>단위</t>
        </is>
      </c>
      <c r="E13" s="36" t="inlineStr">
        <is>
          <t>수  량</t>
        </is>
      </c>
      <c r="F13" s="36" t="inlineStr">
        <is>
          <t>단  가 (원)</t>
        </is>
      </c>
      <c r="G13" s="36" t="inlineStr">
        <is>
          <t>공  급  가  액</t>
        </is>
      </c>
      <c r="H13" s="36" t="inlineStr">
        <is>
          <t>부가세 (10%)</t>
        </is>
      </c>
      <c r="I13" s="6" t="inlineStr">
        <is>
          <t>합    계</t>
        </is>
      </c>
      <c r="J13" s="36" t="inlineStr">
        <is>
          <t>비  고</t>
        </is>
      </c>
    </row>
    <row r="14" ht="21" customHeight="1" s="38">
      <c r="A14" s="23" t="inlineStr">
        <is>
          <t xml:space="preserve">  ▶  텐트 본체  ①  원단·방수 구조물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5" t="n"/>
    </row>
    <row r="15" ht="21.95" customHeight="1" s="38">
      <c r="A15" s="53" t="n">
        <v>1</v>
      </c>
      <c r="B15" s="32" t="inlineStr">
        <is>
          <t>방염코팅 락카쫄탑 (텐트 원단)</t>
        </is>
      </c>
      <c r="C15" s="7" t="inlineStr">
        <is>
          <t>방염인증 KFI</t>
        </is>
      </c>
      <c r="D15" s="53" t="inlineStr">
        <is>
          <t>m²</t>
        </is>
      </c>
      <c r="E15" s="8" t="n"/>
      <c r="F15" s="9" t="n"/>
      <c r="G15" s="10">
        <f>IF(AND(ISNUMBER(E15),ISNUMBER(F15)),E15*F15,"")</f>
        <v/>
      </c>
      <c r="H15" s="11">
        <f>IF(ISNUMBER(G15),INT(G15*0.1),"")</f>
        <v/>
      </c>
      <c r="I15" s="12">
        <f>IF(ISNUMBER(G15),G15+H15,"")</f>
        <v/>
      </c>
      <c r="J15" s="13" t="inlineStr">
        <is>
          <t>주요 원단</t>
        </is>
      </c>
    </row>
    <row r="16" ht="21.95" customHeight="1" s="38">
      <c r="A16" s="14" t="n">
        <v>2</v>
      </c>
      <c r="B16" s="15" t="inlineStr">
        <is>
          <t>방염 아스테이지 (내부 천장 이너막)</t>
        </is>
      </c>
      <c r="C16" s="16" t="inlineStr">
        <is>
          <t>0.3mm방염</t>
        </is>
      </c>
      <c r="D16" s="14" t="inlineStr">
        <is>
          <t>m²</t>
        </is>
      </c>
      <c r="E16" s="8" t="n"/>
      <c r="F16" s="9" t="n"/>
      <c r="G16" s="17">
        <f>IF(AND(ISNUMBER(E16),ISNUMBER(F16)),E16*F16,"")</f>
        <v/>
      </c>
      <c r="H16" s="18">
        <f>IF(ISNUMBER(G16),INT(G16*0.1),"")</f>
        <v/>
      </c>
      <c r="I16" s="12">
        <f>IF(ISNUMBER(G16),G16+H16,"")</f>
        <v/>
      </c>
      <c r="J16" s="19" t="inlineStr">
        <is>
          <t>내부 단열</t>
        </is>
      </c>
    </row>
    <row r="17" ht="21.95" customHeight="1" s="38">
      <c r="A17" s="53" t="n">
        <v>3</v>
      </c>
      <c r="B17" s="32" t="inlineStr">
        <is>
          <t>오비띠 (텐트 고정 보강 벨트)</t>
        </is>
      </c>
      <c r="C17" s="7" t="inlineStr">
        <is>
          <t>50mm폭</t>
        </is>
      </c>
      <c r="D17" s="53" t="inlineStr">
        <is>
          <t>m²</t>
        </is>
      </c>
      <c r="E17" s="8" t="n"/>
      <c r="F17" s="9" t="n"/>
      <c r="G17" s="10">
        <f>IF(AND(ISNUMBER(E17),ISNUMBER(F17)),E17*F17,"")</f>
        <v/>
      </c>
      <c r="H17" s="11">
        <f>IF(ISNUMBER(G17),INT(G17*0.1),"")</f>
        <v/>
      </c>
      <c r="I17" s="12">
        <f>IF(ISNUMBER(G17),G17+H17,"")</f>
        <v/>
      </c>
      <c r="J17" s="13" t="inlineStr">
        <is>
          <t>텐트 고정</t>
        </is>
      </c>
    </row>
    <row r="18" ht="21.95" customHeight="1" s="38">
      <c r="A18" s="14" t="n">
        <v>4</v>
      </c>
      <c r="B18" s="15" t="inlineStr">
        <is>
          <t>로프 및 아일렛</t>
        </is>
      </c>
      <c r="C18" s="16" t="inlineStr">
        <is>
          <t>4mm PP</t>
        </is>
      </c>
      <c r="D18" s="14" t="inlineStr">
        <is>
          <t>m²</t>
        </is>
      </c>
      <c r="E18" s="8" t="n"/>
      <c r="F18" s="9" t="n"/>
      <c r="G18" s="17">
        <f>IF(AND(ISNUMBER(E18),ISNUMBER(F18)),E18*F18,"")</f>
        <v/>
      </c>
      <c r="H18" s="18">
        <f>IF(ISNUMBER(G18),INT(G18*0.1),"")</f>
        <v/>
      </c>
      <c r="I18" s="12">
        <f>IF(ISNUMBER(G18),G18+H18,"")</f>
        <v/>
      </c>
      <c r="J18" s="19" t="n"/>
    </row>
    <row r="19" ht="21.95" customHeight="1" s="38">
      <c r="A19" s="53" t="n">
        <v>5</v>
      </c>
      <c r="B19" s="32" t="inlineStr">
        <is>
          <t>고주파 제작비 (봉제·재단 포함)</t>
        </is>
      </c>
      <c r="C19" s="7" t="n"/>
      <c r="D19" s="53" t="inlineStr">
        <is>
          <t>m²</t>
        </is>
      </c>
      <c r="E19" s="8" t="n"/>
      <c r="F19" s="9" t="n"/>
      <c r="G19" s="10">
        <f>IF(AND(ISNUMBER(E19),ISNUMBER(F19)),E19*F19,"")</f>
        <v/>
      </c>
      <c r="H19" s="11">
        <f>IF(ISNUMBER(G19),INT(G19*0.1),"")</f>
        <v/>
      </c>
      <c r="I19" s="12">
        <f>IF(ISNUMBER(G19),G19+H19,"")</f>
        <v/>
      </c>
      <c r="J19" s="13" t="inlineStr">
        <is>
          <t>공장 제작</t>
        </is>
      </c>
    </row>
    <row r="20" ht="21.95" customHeight="1" s="38">
      <c r="A20" s="14" t="n">
        <v>6</v>
      </c>
      <c r="B20" s="15" t="inlineStr">
        <is>
          <t>PE 바닥 방수 깔판</t>
        </is>
      </c>
      <c r="C20" s="16" t="inlineStr">
        <is>
          <t>1mm두께</t>
        </is>
      </c>
      <c r="D20" s="14" t="inlineStr">
        <is>
          <t>m²</t>
        </is>
      </c>
      <c r="E20" s="8" t="n"/>
      <c r="F20" s="9" t="n"/>
      <c r="G20" s="17">
        <f>IF(AND(ISNUMBER(E20),ISNUMBER(F20)),E20*F20,"")</f>
        <v/>
      </c>
      <c r="H20" s="18">
        <f>IF(ISNUMBER(G20),INT(G20*0.1),"")</f>
        <v/>
      </c>
      <c r="I20" s="12">
        <f>IF(ISNUMBER(G20),G20+H20,"")</f>
        <v/>
      </c>
      <c r="J20" s="19" t="inlineStr">
        <is>
          <t>바닥 방수</t>
        </is>
      </c>
    </row>
    <row r="21" ht="21.95" customHeight="1" s="38">
      <c r="A21" s="53" t="n">
        <v>7</v>
      </c>
      <c r="B21" s="32" t="inlineStr">
        <is>
          <t>알루미늄 폴대·조인트</t>
        </is>
      </c>
      <c r="C21" s="7" t="inlineStr">
        <is>
          <t>WOCS 무용접 특허</t>
        </is>
      </c>
      <c r="D21" s="53" t="inlineStr">
        <is>
          <t>세트</t>
        </is>
      </c>
      <c r="E21" s="8" t="n"/>
      <c r="F21" s="9" t="n"/>
      <c r="G21" s="10">
        <f>IF(AND(ISNUMBER(E21),ISNUMBER(F21)),E21*F21,"")</f>
        <v/>
      </c>
      <c r="H21" s="11">
        <f>IF(ISNUMBER(G21),INT(G21*0.1),"")</f>
        <v/>
      </c>
      <c r="I21" s="12">
        <f>IF(ISNUMBER(G21),G21+H21,"")</f>
        <v/>
      </c>
      <c r="J21" s="13" t="inlineStr">
        <is>
          <t>유니버설 조인트</t>
        </is>
      </c>
    </row>
    <row r="22" ht="21" customHeight="1" s="38">
      <c r="A22" s="23" t="inlineStr">
        <is>
          <t xml:space="preserve">  ▶  데크 및 기초 공사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5" t="n"/>
    </row>
    <row r="23" ht="21.95" customHeight="1" s="38">
      <c r="A23" s="14" t="n">
        <v>8</v>
      </c>
      <c r="B23" s="15" t="inlineStr">
        <is>
          <t>방부목 데크 시공 (SYP)</t>
        </is>
      </c>
      <c r="C23" s="16" t="inlineStr">
        <is>
          <t>38×140mm</t>
        </is>
      </c>
      <c r="D23" s="14" t="inlineStr">
        <is>
          <t>m²</t>
        </is>
      </c>
      <c r="E23" s="8" t="n"/>
      <c r="F23" s="9" t="n"/>
      <c r="G23" s="17">
        <f>IF(AND(ISNUMBER(E23),ISNUMBER(F23)),E23*F23,"")</f>
        <v/>
      </c>
      <c r="H23" s="18">
        <f>IF(ISNUMBER(G23),INT(G23*0.1),"")</f>
        <v/>
      </c>
      <c r="I23" s="12">
        <f>IF(ISNUMBER(G23),G23+H23,"")</f>
        <v/>
      </c>
      <c r="J23" s="19" t="inlineStr">
        <is>
          <t>10년내구보증</t>
        </is>
      </c>
    </row>
    <row r="24" ht="21.95" customHeight="1" s="38">
      <c r="A24" s="53" t="n">
        <v>9</v>
      </c>
      <c r="B24" s="32" t="inlineStr">
        <is>
          <t>데크 하부 기초 블록·합성목</t>
        </is>
      </c>
      <c r="C24" s="7" t="n"/>
      <c r="D24" s="53" t="inlineStr">
        <is>
          <t>m²</t>
        </is>
      </c>
      <c r="E24" s="8" t="n"/>
      <c r="F24" s="9" t="n"/>
      <c r="G24" s="10">
        <f>IF(AND(ISNUMBER(E24),ISNUMBER(F24)),E24*F24,"")</f>
        <v/>
      </c>
      <c r="H24" s="11">
        <f>IF(ISNUMBER(G24),INT(G24*0.1),"")</f>
        <v/>
      </c>
      <c r="I24" s="12">
        <f>IF(ISNUMBER(G24),G24+H24,"")</f>
        <v/>
      </c>
      <c r="J24" s="13" t="inlineStr">
        <is>
          <t>수평기초</t>
        </is>
      </c>
    </row>
    <row r="25" ht="21.95" customHeight="1" s="38">
      <c r="A25" s="14" t="n">
        <v>10</v>
      </c>
      <c r="B25" s="15" t="inlineStr">
        <is>
          <t>바닥 방수 처리 (우레탄 방수)</t>
        </is>
      </c>
      <c r="C25" s="16" t="inlineStr">
        <is>
          <t>2회 도포</t>
        </is>
      </c>
      <c r="D25" s="14" t="inlineStr">
        <is>
          <t>m²</t>
        </is>
      </c>
      <c r="E25" s="8" t="n"/>
      <c r="F25" s="9" t="n"/>
      <c r="G25" s="17">
        <f>IF(AND(ISNUMBER(E25),ISNUMBER(F25)),E25*F25,"")</f>
        <v/>
      </c>
      <c r="H25" s="18">
        <f>IF(ISNUMBER(G25),INT(G25*0.1),"")</f>
        <v/>
      </c>
      <c r="I25" s="12">
        <f>IF(ISNUMBER(G25),G25+H25,"")</f>
        <v/>
      </c>
      <c r="J25" s="19" t="inlineStr">
        <is>
          <t>습기 차단</t>
        </is>
      </c>
    </row>
    <row r="26" ht="21.95" customHeight="1" s="38">
      <c r="A26" s="53" t="n">
        <v>11</v>
      </c>
      <c r="B26" s="32" t="inlineStr">
        <is>
          <t>배수로 공사</t>
        </is>
      </c>
      <c r="C26" s="7" t="n"/>
      <c r="D26" s="53" t="inlineStr">
        <is>
          <t>m</t>
        </is>
      </c>
      <c r="E26" s="8" t="n"/>
      <c r="F26" s="9" t="n"/>
      <c r="G26" s="10">
        <f>IF(AND(ISNUMBER(E26),ISNUMBER(F26)),E26*F26,"")</f>
        <v/>
      </c>
      <c r="H26" s="11">
        <f>IF(ISNUMBER(G26),INT(G26*0.1),"")</f>
        <v/>
      </c>
      <c r="I26" s="12">
        <f>IF(ISNUMBER(G26),G26+H26,"")</f>
        <v/>
      </c>
      <c r="J26" s="13" t="inlineStr">
        <is>
          <t>우수 처리</t>
        </is>
      </c>
    </row>
    <row r="27" ht="21" customHeight="1" s="38">
      <c r="A27" s="23" t="inlineStr">
        <is>
          <t xml:space="preserve">  ▶  전기·설비·부대시설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5" t="n"/>
    </row>
    <row r="28" ht="21.95" customHeight="1" s="38">
      <c r="A28" s="14" t="n">
        <v>12</v>
      </c>
      <c r="B28" s="15" t="inlineStr">
        <is>
          <t>전기 인입 및 분전반 설치</t>
        </is>
      </c>
      <c r="C28" s="16" t="inlineStr">
        <is>
          <t>30A 이상</t>
        </is>
      </c>
      <c r="D28" s="14" t="inlineStr">
        <is>
          <t>식</t>
        </is>
      </c>
      <c r="E28" s="8" t="n"/>
      <c r="F28" s="9" t="n"/>
      <c r="G28" s="17">
        <f>IF(AND(ISNUMBER(E28),ISNUMBER(F28)),E28*F28,"")</f>
        <v/>
      </c>
      <c r="H28" s="18">
        <f>IF(ISNUMBER(G28),INT(G28*0.1),"")</f>
        <v/>
      </c>
      <c r="I28" s="12">
        <f>IF(ISNUMBER(G28),G28+H28,"")</f>
        <v/>
      </c>
      <c r="J28" s="19" t="n"/>
    </row>
    <row r="29" ht="21.95" customHeight="1" s="38">
      <c r="A29" s="53" t="n">
        <v>13</v>
      </c>
      <c r="B29" s="32" t="inlineStr">
        <is>
          <t>내부 LED 조명 설치</t>
        </is>
      </c>
      <c r="C29" s="7" t="inlineStr">
        <is>
          <t>웜화이트</t>
        </is>
      </c>
      <c r="D29" s="53" t="inlineStr">
        <is>
          <t>식</t>
        </is>
      </c>
      <c r="E29" s="8" t="n"/>
      <c r="F29" s="9" t="n"/>
      <c r="G29" s="10">
        <f>IF(AND(ISNUMBER(E29),ISNUMBER(F29)),E29*F29,"")</f>
        <v/>
      </c>
      <c r="H29" s="11">
        <f>IF(ISNUMBER(G29),INT(G29*0.1),"")</f>
        <v/>
      </c>
      <c r="I29" s="12">
        <f>IF(ISNUMBER(G29),G29+H29,"")</f>
        <v/>
      </c>
      <c r="J29" s="13" t="inlineStr">
        <is>
          <t>무드 조명</t>
        </is>
      </c>
    </row>
    <row r="30" ht="21.95" customHeight="1" s="38">
      <c r="A30" s="14" t="n">
        <v>14</v>
      </c>
      <c r="B30" s="15" t="inlineStr">
        <is>
          <t>외부 경관 조명 (무드등)</t>
        </is>
      </c>
      <c r="C30" s="16" t="n"/>
      <c r="D30" s="14" t="inlineStr">
        <is>
          <t>식</t>
        </is>
      </c>
      <c r="E30" s="8" t="n"/>
      <c r="F30" s="9" t="n"/>
      <c r="G30" s="17">
        <f>IF(AND(ISNUMBER(E30),ISNUMBER(F30)),E30*F30,"")</f>
        <v/>
      </c>
      <c r="H30" s="18">
        <f>IF(ISNUMBER(G30),INT(G30*0.1),"")</f>
        <v/>
      </c>
      <c r="I30" s="12">
        <f>IF(ISNUMBER(G30),G30+H30,"")</f>
        <v/>
      </c>
      <c r="J30" s="19" t="inlineStr">
        <is>
          <t>인스타감성</t>
        </is>
      </c>
    </row>
    <row r="31" ht="21.95" customHeight="1" s="38">
      <c r="A31" s="53" t="n">
        <v>15</v>
      </c>
      <c r="B31" s="32" t="inlineStr">
        <is>
          <t>냉난방기 설치 (벽걸이형)</t>
        </is>
      </c>
      <c r="C31" s="7" t="inlineStr">
        <is>
          <t>배관 포함</t>
        </is>
      </c>
      <c r="D31" s="53" t="inlineStr">
        <is>
          <t>대</t>
        </is>
      </c>
      <c r="E31" s="8" t="n"/>
      <c r="F31" s="9" t="n"/>
      <c r="G31" s="10">
        <f>IF(AND(ISNUMBER(E31),ISNUMBER(F31)),E31*F31,"")</f>
        <v/>
      </c>
      <c r="H31" s="11">
        <f>IF(ISNUMBER(G31),INT(G31*0.1),"")</f>
        <v/>
      </c>
      <c r="I31" s="12">
        <f>IF(ISNUMBER(G31),G31+H31,"")</f>
        <v/>
      </c>
      <c r="J31" s="13" t="n"/>
    </row>
    <row r="32" ht="21.95" customHeight="1" s="38">
      <c r="A32" s="14" t="n">
        <v>16</v>
      </c>
      <c r="B32" s="15" t="inlineStr">
        <is>
          <t>온수기 설치 (전기식)</t>
        </is>
      </c>
      <c r="C32" s="16" t="n"/>
      <c r="D32" s="14" t="inlineStr">
        <is>
          <t>대</t>
        </is>
      </c>
      <c r="E32" s="8" t="n"/>
      <c r="F32" s="9" t="n"/>
      <c r="G32" s="17">
        <f>IF(AND(ISNUMBER(E32),ISNUMBER(F32)),E32*F32,"")</f>
        <v/>
      </c>
      <c r="H32" s="18">
        <f>IF(ISNUMBER(G32),INT(G32*0.1),"")</f>
        <v/>
      </c>
      <c r="I32" s="12">
        <f>IF(ISNUMBER(G32),G32+H32,"")</f>
        <v/>
      </c>
      <c r="J32" s="19" t="inlineStr">
        <is>
          <t>선택</t>
        </is>
      </c>
    </row>
    <row r="33" ht="21.95" customHeight="1" s="38">
      <c r="A33" s="53" t="n">
        <v>17</v>
      </c>
      <c r="B33" s="32" t="inlineStr">
        <is>
          <t>콘센트·스위치 설치</t>
        </is>
      </c>
      <c r="C33" s="7" t="n"/>
      <c r="D33" s="53" t="inlineStr">
        <is>
          <t>식</t>
        </is>
      </c>
      <c r="E33" s="8" t="n"/>
      <c r="F33" s="9" t="n"/>
      <c r="G33" s="10">
        <f>IF(AND(ISNUMBER(E33),ISNUMBER(F33)),E33*F33,"")</f>
        <v/>
      </c>
      <c r="H33" s="11">
        <f>IF(ISNUMBER(G33),INT(G33*0.1),"")</f>
        <v/>
      </c>
      <c r="I33" s="12">
        <f>IF(ISNUMBER(G33),G33+H33,"")</f>
        <v/>
      </c>
      <c r="J33" s="13" t="n"/>
    </row>
    <row r="34" ht="21.95" customHeight="1" s="38">
      <c r="A34" s="14" t="n">
        <v>18</v>
      </c>
      <c r="B34" s="15" t="inlineStr">
        <is>
          <t>프라이빗 울타리</t>
        </is>
      </c>
      <c r="C34" s="16" t="inlineStr">
        <is>
          <t>대나무/우드</t>
        </is>
      </c>
      <c r="D34" s="14" t="inlineStr">
        <is>
          <t>m</t>
        </is>
      </c>
      <c r="E34" s="8" t="n"/>
      <c r="F34" s="9" t="n"/>
      <c r="G34" s="17">
        <f>IF(AND(ISNUMBER(E34),ISNUMBER(F34)),E34*F34,"")</f>
        <v/>
      </c>
      <c r="H34" s="18">
        <f>IF(ISNUMBER(G34),INT(G34*0.1),"")</f>
        <v/>
      </c>
      <c r="I34" s="12">
        <f>IF(ISNUMBER(G34),G34+H34,"")</f>
        <v/>
      </c>
      <c r="J34" s="19" t="n"/>
    </row>
    <row r="35" ht="21.95" customHeight="1" s="38">
      <c r="A35" s="53" t="n">
        <v>19</v>
      </c>
      <c r="B35" s="32" t="inlineStr">
        <is>
          <t>화장실·샤워 시설 (선택)</t>
        </is>
      </c>
      <c r="C35" s="7" t="inlineStr">
        <is>
          <t>조립식 부스</t>
        </is>
      </c>
      <c r="D35" s="53" t="inlineStr">
        <is>
          <t>식</t>
        </is>
      </c>
      <c r="E35" s="8" t="n"/>
      <c r="F35" s="9" t="n"/>
      <c r="G35" s="10">
        <f>IF(AND(ISNUMBER(E35),ISNUMBER(F35)),E35*F35,"")</f>
        <v/>
      </c>
      <c r="H35" s="11">
        <f>IF(ISNUMBER(G35),INT(G35*0.1),"")</f>
        <v/>
      </c>
      <c r="I35" s="12">
        <f>IF(ISNUMBER(G35),G35+H35,"")</f>
        <v/>
      </c>
      <c r="J35" s="13" t="inlineStr">
        <is>
          <t>별도 협의</t>
        </is>
      </c>
    </row>
    <row r="36" ht="21.95" customHeight="1" s="38">
      <c r="A36" s="14" t="n">
        <v>20</v>
      </c>
      <c r="B36" s="15" t="inlineStr">
        <is>
          <t>설치부자재 일체 (카라비너 외)</t>
        </is>
      </c>
      <c r="C36" s="16" t="n"/>
      <c r="D36" s="14" t="inlineStr">
        <is>
          <t>식</t>
        </is>
      </c>
      <c r="E36" s="8" t="n"/>
      <c r="F36" s="9" t="n"/>
      <c r="G36" s="17">
        <f>IF(AND(ISNUMBER(E36),ISNUMBER(F36)),E36*F36,"")</f>
        <v/>
      </c>
      <c r="H36" s="18">
        <f>IF(ISNUMBER(G36),INT(G36*0.1),"")</f>
        <v/>
      </c>
      <c r="I36" s="12">
        <f>IF(ISNUMBER(G36),G36+H36,"")</f>
        <v/>
      </c>
      <c r="J36" s="19" t="n"/>
    </row>
    <row r="37" ht="21" customHeight="1" s="38">
      <c r="A37" s="23" t="inlineStr">
        <is>
          <t xml:space="preserve">  ▶  시공비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5" t="n"/>
    </row>
    <row r="38" ht="21.95" customHeight="1" s="38">
      <c r="A38" s="53" t="n">
        <v>21</v>
      </c>
      <c r="B38" s="32" t="inlineStr">
        <is>
          <t>현장 답사 및 현장 실측</t>
        </is>
      </c>
      <c r="C38" s="7" t="n"/>
      <c r="D38" s="53" t="inlineStr">
        <is>
          <t>식</t>
        </is>
      </c>
      <c r="E38" s="8" t="n"/>
      <c r="F38" s="9" t="n"/>
      <c r="G38" s="10">
        <f>IF(AND(ISNUMBER(E38),ISNUMBER(F38)),E38*F38,"")</f>
        <v/>
      </c>
      <c r="H38" s="11">
        <f>IF(ISNUMBER(G38),INT(G38*0.1),"")</f>
        <v/>
      </c>
      <c r="I38" s="12">
        <f>IF(ISNUMBER(G38),G38+H38,"")</f>
        <v/>
      </c>
      <c r="J38" s="13" t="inlineStr">
        <is>
          <t>시공 전 필수</t>
        </is>
      </c>
    </row>
    <row r="39" ht="21.95" customHeight="1" s="38">
      <c r="A39" s="14" t="n">
        <v>22</v>
      </c>
      <c r="B39" s="15" t="inlineStr">
        <is>
          <t>지반 정지 작업</t>
        </is>
      </c>
      <c r="C39" s="16" t="n"/>
      <c r="D39" s="14" t="inlineStr">
        <is>
          <t>m²</t>
        </is>
      </c>
      <c r="E39" s="8" t="n"/>
      <c r="F39" s="9" t="n"/>
      <c r="G39" s="17">
        <f>IF(AND(ISNUMBER(E39),ISNUMBER(F39)),E39*F39,"")</f>
        <v/>
      </c>
      <c r="H39" s="18">
        <f>IF(ISNUMBER(G39),INT(G39*0.1),"")</f>
        <v/>
      </c>
      <c r="I39" s="12">
        <f>IF(ISNUMBER(G39),G39+H39,"")</f>
        <v/>
      </c>
      <c r="J39" s="19" t="inlineStr">
        <is>
          <t>수평작업</t>
        </is>
      </c>
    </row>
    <row r="40" ht="21.95" customHeight="1" s="38">
      <c r="A40" s="53" t="n">
        <v>23</v>
      </c>
      <c r="B40" s="32" t="inlineStr">
        <is>
          <t>텐트 설치 인건비 (전국 직시공)</t>
        </is>
      </c>
      <c r="C40" s="7" t="n"/>
      <c r="D40" s="53" t="inlineStr">
        <is>
          <t>식</t>
        </is>
      </c>
      <c r="E40" s="8" t="n"/>
      <c r="F40" s="9" t="n"/>
      <c r="G40" s="10">
        <f>IF(AND(ISNUMBER(E40),ISNUMBER(F40)),E40*F40,"")</f>
        <v/>
      </c>
      <c r="H40" s="11">
        <f>IF(ISNUMBER(G40),INT(G40*0.1),"")</f>
        <v/>
      </c>
      <c r="I40" s="12">
        <f>IF(ISNUMBER(G40),G40+H40,"")</f>
        <v/>
      </c>
      <c r="J40" s="13" t="inlineStr">
        <is>
          <t>WOCS 직시공</t>
        </is>
      </c>
    </row>
    <row r="41" ht="21.95" customHeight="1" s="38">
      <c r="A41" s="14" t="n">
        <v>24</v>
      </c>
      <c r="B41" s="15" t="inlineStr">
        <is>
          <t>데크·전기 설치 인건비</t>
        </is>
      </c>
      <c r="C41" s="16" t="n"/>
      <c r="D41" s="14" t="inlineStr">
        <is>
          <t>식</t>
        </is>
      </c>
      <c r="E41" s="8" t="n"/>
      <c r="F41" s="9" t="n"/>
      <c r="G41" s="17">
        <f>IF(AND(ISNUMBER(E41),ISNUMBER(F41)),E41*F41,"")</f>
        <v/>
      </c>
      <c r="H41" s="18">
        <f>IF(ISNUMBER(G41),INT(G41*0.1),"")</f>
        <v/>
      </c>
      <c r="I41" s="12">
        <f>IF(ISNUMBER(G41),G41+H41,"")</f>
        <v/>
      </c>
      <c r="J41" s="19" t="n"/>
    </row>
    <row r="42" ht="21.95" customHeight="1" s="38">
      <c r="A42" s="53" t="n">
        <v>25</v>
      </c>
      <c r="B42" s="32" t="inlineStr">
        <is>
          <t>인허가 행정 지원 (선택)</t>
        </is>
      </c>
      <c r="C42" s="7" t="inlineStr">
        <is>
          <t>농지전용 등</t>
        </is>
      </c>
      <c r="D42" s="53" t="inlineStr">
        <is>
          <t>식</t>
        </is>
      </c>
      <c r="E42" s="8" t="n"/>
      <c r="F42" s="9" t="n"/>
      <c r="G42" s="10">
        <f>IF(AND(ISNUMBER(E42),ISNUMBER(F42)),E42*F42,"")</f>
        <v/>
      </c>
      <c r="H42" s="11">
        <f>IF(ISNUMBER(G42),INT(G42*0.1),"")</f>
        <v/>
      </c>
      <c r="I42" s="12">
        <f>IF(ISNUMBER(G42),G42+H42,"")</f>
        <v/>
      </c>
      <c r="J42" s="13" t="inlineStr">
        <is>
          <t>별도 협의</t>
        </is>
      </c>
    </row>
    <row r="43" ht="21.95" customHeight="1" s="38">
      <c r="A43" s="14" t="n">
        <v>26</v>
      </c>
      <c r="B43" s="15" t="inlineStr">
        <is>
          <t>폐자재 정리·처리비</t>
        </is>
      </c>
      <c r="C43" s="16" t="n"/>
      <c r="D43" s="14" t="inlineStr">
        <is>
          <t>식</t>
        </is>
      </c>
      <c r="E43" s="8" t="n"/>
      <c r="F43" s="9" t="n"/>
      <c r="G43" s="17">
        <f>IF(AND(ISNUMBER(E43),ISNUMBER(F43)),E43*F43,"")</f>
        <v/>
      </c>
      <c r="H43" s="18">
        <f>IF(ISNUMBER(G43),INT(G43*0.1),"")</f>
        <v/>
      </c>
      <c r="I43" s="12">
        <f>IF(ISNUMBER(G43),G43+H43,"")</f>
        <v/>
      </c>
      <c r="J43" s="19" t="n"/>
    </row>
    <row r="44" ht="21.95" customHeight="1" s="38">
      <c r="A44" s="53" t="n">
        <v>27</v>
      </c>
      <c r="B44" s="32" t="inlineStr">
        <is>
          <t>운반비 (전국 직시공)</t>
        </is>
      </c>
      <c r="C44" s="7" t="n"/>
      <c r="D44" s="53" t="inlineStr">
        <is>
          <t>식</t>
        </is>
      </c>
      <c r="E44" s="8" t="n"/>
      <c r="F44" s="9" t="n"/>
      <c r="G44" s="10">
        <f>IF(AND(ISNUMBER(E44),ISNUMBER(F44)),E44*F44,"")</f>
        <v/>
      </c>
      <c r="H44" s="11">
        <f>IF(ISNUMBER(G44),INT(G44*0.1),"")</f>
        <v/>
      </c>
      <c r="I44" s="12">
        <f>IF(ISNUMBER(G44),G44+H44,"")</f>
        <v/>
      </c>
      <c r="J44" s="13" t="n"/>
    </row>
    <row r="45" ht="21.95" customHeight="1" s="38">
      <c r="A45" s="14" t="n">
        <v>28</v>
      </c>
      <c r="B45" s="15" t="inlineStr">
        <is>
          <t>공과잡비</t>
        </is>
      </c>
      <c r="C45" s="16" t="n"/>
      <c r="D45" s="14" t="inlineStr">
        <is>
          <t>식</t>
        </is>
      </c>
      <c r="E45" s="8" t="n"/>
      <c r="F45" s="9" t="n"/>
      <c r="G45" s="17">
        <f>IF(AND(ISNUMBER(E45),ISNUMBER(F45)),E45*F45,"")</f>
        <v/>
      </c>
      <c r="H45" s="18">
        <f>IF(ISNUMBER(G45),INT(G45*0.1),"")</f>
        <v/>
      </c>
      <c r="I45" s="12">
        <f>IF(ISNUMBER(G45),G45+H45,"")</f>
        <v/>
      </c>
      <c r="J45" s="19" t="inlineStr">
        <is>
          <t>소모품 일체</t>
        </is>
      </c>
    </row>
    <row r="46" ht="21.95" customHeight="1" s="38">
      <c r="A46" s="20" t="n"/>
      <c r="B46" s="20" t="n"/>
      <c r="C46" s="20" t="n"/>
      <c r="D46" s="20" t="n"/>
      <c r="E46" s="21" t="n"/>
      <c r="F46" s="21" t="n"/>
      <c r="G46" s="10">
        <f>IF(AND(ISNUMBER(E46),ISNUMBER(F46)),E46*F46,"")</f>
        <v/>
      </c>
      <c r="H46" s="11">
        <f>IF(ISNUMBER(G46),INT(G46*0.1),"")</f>
        <v/>
      </c>
      <c r="I46" s="12">
        <f>IF(ISNUMBER(G46),G46+H46,"")</f>
        <v/>
      </c>
      <c r="J46" s="20" t="n"/>
    </row>
    <row r="47" ht="21.95" customHeight="1" s="38">
      <c r="A47" s="22" t="n"/>
      <c r="B47" s="22" t="n"/>
      <c r="C47" s="22" t="n"/>
      <c r="D47" s="22" t="n"/>
      <c r="E47" s="21" t="n"/>
      <c r="F47" s="21" t="n"/>
      <c r="G47" s="17">
        <f>IF(AND(ISNUMBER(E47),ISNUMBER(F47)),E47*F47,"")</f>
        <v/>
      </c>
      <c r="H47" s="18">
        <f>IF(ISNUMBER(G47),INT(G47*0.1),"")</f>
        <v/>
      </c>
      <c r="I47" s="12">
        <f>IF(ISNUMBER(G47),G47+H47,"")</f>
        <v/>
      </c>
      <c r="J47" s="22" t="n"/>
    </row>
    <row r="48" ht="21.95" customHeight="1" s="38">
      <c r="A48" s="20" t="n"/>
      <c r="B48" s="20" t="n"/>
      <c r="C48" s="20" t="n"/>
      <c r="D48" s="20" t="n"/>
      <c r="E48" s="21" t="n"/>
      <c r="F48" s="21" t="n"/>
      <c r="G48" s="10">
        <f>IF(AND(ISNUMBER(E48),ISNUMBER(F48)),E48*F48,"")</f>
        <v/>
      </c>
      <c r="H48" s="11">
        <f>IF(ISNUMBER(G48),INT(G48*0.1),"")</f>
        <v/>
      </c>
      <c r="I48" s="12">
        <f>IF(ISNUMBER(G48),G48+H48,"")</f>
        <v/>
      </c>
      <c r="J48" s="20" t="n"/>
    </row>
    <row r="49" ht="5.1" customHeight="1" s="38"/>
    <row r="50" ht="24" customHeight="1" s="38">
      <c r="A50" s="28" t="inlineStr">
        <is>
          <t>공  급  가  액  합  계  (VAT 제외)</t>
        </is>
      </c>
      <c r="B50" s="24" t="n"/>
      <c r="C50" s="24" t="n"/>
      <c r="D50" s="24" t="n"/>
      <c r="E50" s="24" t="n"/>
      <c r="F50" s="24" t="n"/>
      <c r="G50" s="24" t="n"/>
      <c r="H50" s="25" t="n"/>
      <c r="I50" s="49">
        <f t="array" ref="I50">SUMPRODUCT(IFERROR(G15:G48*1,0))</f>
        <v/>
      </c>
      <c r="J50" s="25" t="n"/>
    </row>
    <row r="51" ht="24" customHeight="1" s="38">
      <c r="A51" s="28" t="inlineStr">
        <is>
          <t>부  가  세  합  계  (10%)</t>
        </is>
      </c>
      <c r="B51" s="24" t="n"/>
      <c r="C51" s="24" t="n"/>
      <c r="D51" s="24" t="n"/>
      <c r="E51" s="24" t="n"/>
      <c r="F51" s="24" t="n"/>
      <c r="G51" s="24" t="n"/>
      <c r="H51" s="25" t="n"/>
      <c r="I51" s="49">
        <f t="array" ref="I51">SUMPRODUCT(IFERROR(H15:H48*1,0))</f>
        <v/>
      </c>
      <c r="J51" s="25" t="n"/>
    </row>
    <row r="52" ht="30" customHeight="1" s="38">
      <c r="A52" s="50" t="inlineStr">
        <is>
          <t>총  합  계  금  액  (VAT 포함)</t>
        </is>
      </c>
      <c r="B52" s="24" t="n"/>
      <c r="C52" s="24" t="n"/>
      <c r="D52" s="24" t="n"/>
      <c r="E52" s="24" t="n"/>
      <c r="F52" s="24" t="n"/>
      <c r="G52" s="24" t="n"/>
      <c r="H52" s="25" t="n"/>
      <c r="I52" s="45">
        <f>I50+I51</f>
        <v/>
      </c>
      <c r="J52" s="25" t="n"/>
    </row>
    <row r="53" ht="21.95" customHeight="1" s="38">
      <c r="A53" s="31">
        <f>IF(I52="","","일금  "&amp;NUMBERSTRING(I52,1)&amp;"원정  (부가세 포함)")</f>
        <v/>
      </c>
      <c r="B53" s="24" t="n"/>
      <c r="C53" s="24" t="n"/>
      <c r="D53" s="24" t="n"/>
      <c r="E53" s="24" t="n"/>
      <c r="F53" s="24" t="n"/>
      <c r="G53" s="24" t="n"/>
      <c r="H53" s="24" t="n"/>
      <c r="I53" s="24" t="n"/>
      <c r="J53" s="25" t="n"/>
    </row>
    <row r="54" ht="5.1" customHeight="1" s="38"/>
    <row r="55" ht="24" customHeight="1" s="38">
      <c r="A55" s="51" t="inlineStr">
        <is>
          <t>■  특  기  사  항</t>
        </is>
      </c>
      <c r="B55" s="24" t="n"/>
      <c r="C55" s="24" t="n"/>
      <c r="D55" s="24" t="n"/>
      <c r="E55" s="24" t="n"/>
      <c r="F55" s="24" t="n"/>
      <c r="G55" s="24" t="n"/>
      <c r="H55" s="24" t="n"/>
      <c r="I55" s="24" t="n"/>
      <c r="J55" s="25" t="n"/>
    </row>
    <row r="56" ht="18" customHeight="1" s="38">
      <c r="A56" s="29" t="inlineStr">
        <is>
          <t xml:space="preserve"> ① WOCS 특허 "무용접 다방향 유니버설 조인트" — 내구성·안전성 업계 최상위 등급.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5" t="n"/>
    </row>
    <row r="57" ht="18" customHeight="1" s="38">
      <c r="A57" s="32" t="inlineStr">
        <is>
          <t xml:space="preserve"> ② 화순 쇼룸 방문 시 실물 확인 + 현장 맞춤 견적 제공 (전화 예약: 010-4337-0582).</t>
        </is>
      </c>
      <c r="B57" s="24" t="n"/>
      <c r="C57" s="24" t="n"/>
      <c r="D57" s="24" t="n"/>
      <c r="E57" s="24" t="n"/>
      <c r="F57" s="24" t="n"/>
      <c r="G57" s="24" t="n"/>
      <c r="H57" s="24" t="n"/>
      <c r="I57" s="24" t="n"/>
      <c r="J57" s="25" t="n"/>
    </row>
    <row r="58" ht="18" customHeight="1" s="38">
      <c r="A58" s="29" t="inlineStr">
        <is>
          <t xml:space="preserve"> ③ 동 추가 시: B동 5개 행 블록 복사 → 동 이름·수량만 수정하면 합계 자동 반영.</t>
        </is>
      </c>
      <c r="B58" s="24" t="n"/>
      <c r="C58" s="24" t="n"/>
      <c r="D58" s="24" t="n"/>
      <c r="E58" s="24" t="n"/>
      <c r="F58" s="24" t="n"/>
      <c r="G58" s="24" t="n"/>
      <c r="H58" s="24" t="n"/>
      <c r="I58" s="24" t="n"/>
      <c r="J58" s="25" t="n"/>
    </row>
    <row r="59" ht="18" customHeight="1" s="38">
      <c r="A59" s="32" t="inlineStr">
        <is>
          <t xml:space="preserve"> ④ 인허가 지원: 농지전용·관광사업 등록·캠핑장 신고 등 행정 컨설팅 별도 제공.</t>
        </is>
      </c>
      <c r="B59" s="24" t="n"/>
      <c r="C59" s="24" t="n"/>
      <c r="D59" s="24" t="n"/>
      <c r="E59" s="24" t="n"/>
      <c r="F59" s="24" t="n"/>
      <c r="G59" s="24" t="n"/>
      <c r="H59" s="24" t="n"/>
      <c r="I59" s="24" t="n"/>
      <c r="J59" s="25" t="n"/>
    </row>
    <row r="60" ht="18" customHeight="1" s="38">
      <c r="A60" s="29" t="inlineStr">
        <is>
          <t xml:space="preserve"> ⑤ 글램핑 창업 원스톱: 부지 분석 → 설계 → 시공 → 운영 → SNS 마케팅 전 과정 지원.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5" t="n"/>
    </row>
    <row r="61" ht="18" customHeight="1" s="38">
      <c r="A61" s="32" t="inlineStr">
        <is>
          <t xml:space="preserve"> ⑥ 방염 인증 (KFI) 자재 적용 — 야영장법 방염 기준 충족.</t>
        </is>
      </c>
      <c r="B61" s="24" t="n"/>
      <c r="C61" s="24" t="n"/>
      <c r="D61" s="24" t="n"/>
      <c r="E61" s="24" t="n"/>
      <c r="F61" s="24" t="n"/>
      <c r="G61" s="24" t="n"/>
      <c r="H61" s="24" t="n"/>
      <c r="I61" s="24" t="n"/>
      <c r="J61" s="25" t="n"/>
    </row>
    <row r="62" ht="18" customHeight="1" s="38">
      <c r="A62" s="29" t="inlineStr">
        <is>
          <t xml:space="preserve"> ⑦ 보증: 준공 후 1년 무상 A/S | 결제: 계약금 30% / 중도금 30% / 잔금 40%.</t>
        </is>
      </c>
      <c r="B62" s="24" t="n"/>
      <c r="C62" s="24" t="n"/>
      <c r="D62" s="24" t="n"/>
      <c r="E62" s="24" t="n"/>
      <c r="F62" s="24" t="n"/>
      <c r="G62" s="24" t="n"/>
      <c r="H62" s="24" t="n"/>
      <c r="I62" s="24" t="n"/>
      <c r="J62" s="25" t="n"/>
    </row>
    <row r="63" ht="18" customHeight="1" s="38">
      <c r="A63" s="32" t="inlineStr">
        <is>
          <t xml:space="preserve"> ⑧ 문의: 010-4337-0582 | candlejs6@gmail.com | wocs.kr</t>
        </is>
      </c>
      <c r="B63" s="24" t="n"/>
      <c r="C63" s="24" t="n"/>
      <c r="D63" s="24" t="n"/>
      <c r="E63" s="24" t="n"/>
      <c r="F63" s="24" t="n"/>
      <c r="G63" s="24" t="n"/>
      <c r="H63" s="24" t="n"/>
      <c r="I63" s="24" t="n"/>
      <c r="J63" s="25" t="n"/>
    </row>
    <row r="64" ht="5.1" customHeight="1" s="38"/>
    <row r="65" ht="32.1" customHeight="1" s="38">
      <c r="A65" s="35" t="inlineStr">
        <is>
          <t>위 견적 내용을 확인하였으며 이에 동의합니다.</t>
        </is>
      </c>
      <c r="B65" s="24" t="n"/>
      <c r="C65" s="24" t="n"/>
      <c r="D65" s="24" t="n"/>
      <c r="E65" s="24" t="n"/>
      <c r="F65" s="24" t="n"/>
      <c r="G65" s="24" t="n"/>
      <c r="H65" s="24" t="n"/>
      <c r="I65" s="24" t="n"/>
      <c r="J65" s="25" t="n"/>
    </row>
    <row r="66" ht="45.95" customHeight="1" s="38">
      <c r="A66" s="36" t="inlineStr">
        <is>
          <t>공  급  자</t>
        </is>
      </c>
      <c r="B66" s="25" t="n"/>
      <c r="C66" s="35" t="inlineStr">
        <is>
          <t>우성글램핑N텐트   김우성   (인)</t>
        </is>
      </c>
      <c r="D66" s="24" t="n"/>
      <c r="E66" s="24" t="n"/>
      <c r="F66" s="25" t="n"/>
      <c r="G66" s="36" t="inlineStr">
        <is>
          <t>수  급  자</t>
        </is>
      </c>
      <c r="H66" s="25" t="n"/>
      <c r="I66" s="35" t="inlineStr">
        <is>
          <t xml:space="preserve">                              (인)</t>
        </is>
      </c>
      <c r="J66" s="25" t="n"/>
    </row>
  </sheetData>
  <mergeCells count="52">
    <mergeCell ref="A8:J8"/>
    <mergeCell ref="E10:J10"/>
    <mergeCell ref="A14:J14"/>
    <mergeCell ref="A22:J22"/>
    <mergeCell ref="A62:J62"/>
    <mergeCell ref="B6:E6"/>
    <mergeCell ref="A51:H51"/>
    <mergeCell ref="A53:J53"/>
    <mergeCell ref="H4:I4"/>
    <mergeCell ref="B5:E5"/>
    <mergeCell ref="A10:D10"/>
    <mergeCell ref="J2"/>
    <mergeCell ref="C66:F66"/>
    <mergeCell ref="A63:J63"/>
    <mergeCell ref="H6:I6"/>
    <mergeCell ref="B4:E4"/>
    <mergeCell ref="A58:J58"/>
    <mergeCell ref="B7:E7"/>
    <mergeCell ref="A59:J59"/>
    <mergeCell ref="A66:B66"/>
    <mergeCell ref="H12:J12"/>
    <mergeCell ref="G66:H66"/>
    <mergeCell ref="C9:D9"/>
    <mergeCell ref="I66:J66"/>
    <mergeCell ref="E9:F9"/>
    <mergeCell ref="A60:J60"/>
    <mergeCell ref="A3:E3"/>
    <mergeCell ref="A11:J11"/>
    <mergeCell ref="A50:H50"/>
    <mergeCell ref="A1:J1"/>
    <mergeCell ref="A2:B2"/>
    <mergeCell ref="C2:D2"/>
    <mergeCell ref="A61:J61"/>
    <mergeCell ref="E2:F2"/>
    <mergeCell ref="H7:I7"/>
    <mergeCell ref="A65:J65"/>
    <mergeCell ref="I52:J52"/>
    <mergeCell ref="F3:F7"/>
    <mergeCell ref="H3:I3"/>
    <mergeCell ref="G2:I2"/>
    <mergeCell ref="A37:J37"/>
    <mergeCell ref="I51:J51"/>
    <mergeCell ref="A56:J56"/>
    <mergeCell ref="A27:J27"/>
    <mergeCell ref="A52:H52"/>
    <mergeCell ref="A55:J55"/>
    <mergeCell ref="H5:I5"/>
    <mergeCell ref="A57:J57"/>
    <mergeCell ref="I50:J50"/>
    <mergeCell ref="A9:B9"/>
    <mergeCell ref="G9:H9"/>
    <mergeCell ref="I9:J9"/>
  </mergeCells>
  <pageMargins left="0.75" right="0.75" top="1" bottom="1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2026-03-26T20:54:56Z</dcterms:created>
  <dcterms:modified xmlns:dcterms="http://purl.org/dc/terms/" xmlns:xsi="http://www.w3.org/2001/XMLSchema-instance" xsi:type="dcterms:W3CDTF">2026-03-27T21:12:34Z</dcterms:modified>
  <cp:lastModifiedBy>user</cp:lastModifiedBy>
  <cp:lastPrinted>2026-03-27T03:42:10Z</cp:lastPrinted>
</cp:coreProperties>
</file>